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vina putri\Downloads\"/>
    </mc:Choice>
  </mc:AlternateContent>
  <xr:revisionPtr revIDLastSave="0" documentId="13_ncr:1_{D9294151-6C44-461A-9632-89ACA3FCF8A4}" xr6:coauthVersionLast="47" xr6:coauthVersionMax="47" xr10:uidLastSave="{00000000-0000-0000-0000-000000000000}"/>
  <bookViews>
    <workbookView xWindow="-110" yWindow="-110" windowWidth="19420" windowHeight="10300" tabRatio="817" xr2:uid="{00000000-000D-0000-FFFF-FFFF00000000}"/>
  </bookViews>
  <sheets>
    <sheet name="TB AWAL" sheetId="23" r:id="rId1"/>
    <sheet name="CRJ" sheetId="1" r:id="rId2"/>
    <sheet name="CPJ" sheetId="8" r:id="rId3"/>
    <sheet name="SJ" sheetId="9" r:id="rId4"/>
    <sheet name="PJ" sheetId="10" r:id="rId5"/>
    <sheet name="PC" sheetId="5" r:id="rId6"/>
    <sheet name="GJ" sheetId="6" r:id="rId7"/>
    <sheet name="IC (1)" sheetId="27" r:id="rId8"/>
    <sheet name="IC(2)" sheetId="7" r:id="rId9"/>
    <sheet name="SLAP" sheetId="11" r:id="rId10"/>
    <sheet name="SLAR" sheetId="12" r:id="rId11"/>
    <sheet name="GL" sheetId="13" r:id="rId12"/>
    <sheet name="TB" sheetId="41" r:id="rId13"/>
    <sheet name="AJ" sheetId="15" r:id="rId14"/>
    <sheet name="NL" sheetId="25" r:id="rId15"/>
    <sheet name="SOCI" sheetId="18" r:id="rId16"/>
    <sheet name="RES" sheetId="16" r:id="rId17"/>
    <sheet name="SFOP" sheetId="17" r:id="rId18"/>
    <sheet name="CFS" sheetId="22" r:id="rId19"/>
    <sheet name="CJ" sheetId="19" r:id="rId20"/>
    <sheet name="TBACE" sheetId="2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6" l="1"/>
  <c r="J11" i="6"/>
  <c r="N11" i="5"/>
  <c r="L11" i="5"/>
  <c r="N12" i="10"/>
  <c r="P13" i="9"/>
  <c r="N13" i="9"/>
  <c r="O13" i="8"/>
  <c r="M13" i="8"/>
  <c r="O12" i="1"/>
  <c r="M12" i="1"/>
  <c r="G222" i="13"/>
  <c r="D20" i="41" s="1"/>
  <c r="C5" i="16" s="1"/>
  <c r="G58" i="11"/>
  <c r="B12" i="22"/>
  <c r="F17" i="19"/>
  <c r="F16" i="19"/>
  <c r="F15" i="19"/>
  <c r="F14" i="19"/>
  <c r="E8" i="19"/>
  <c r="C21" i="22"/>
  <c r="B18" i="22"/>
  <c r="C19" i="22" s="1"/>
  <c r="B13" i="22"/>
  <c r="B11" i="22"/>
  <c r="B10" i="22"/>
  <c r="A10" i="22"/>
  <c r="D344" i="13"/>
  <c r="F344" i="13" s="1"/>
  <c r="C28" i="41" s="1"/>
  <c r="M10" i="8"/>
  <c r="M9" i="8"/>
  <c r="D163" i="13" s="1"/>
  <c r="B9" i="22"/>
  <c r="B6" i="22"/>
  <c r="G268" i="13"/>
  <c r="G269" i="13" s="1"/>
  <c r="M8" i="8"/>
  <c r="D148" i="13" s="1"/>
  <c r="M11" i="8"/>
  <c r="D238" i="13" s="1"/>
  <c r="B17" i="18"/>
  <c r="B16" i="18"/>
  <c r="B15" i="18"/>
  <c r="B14" i="18"/>
  <c r="B6" i="18"/>
  <c r="J35" i="25"/>
  <c r="J34" i="25"/>
  <c r="J33" i="25"/>
  <c r="J32" i="25"/>
  <c r="I32" i="25"/>
  <c r="G32" i="25"/>
  <c r="J31" i="25"/>
  <c r="I31" i="25"/>
  <c r="G31" i="25"/>
  <c r="E31" i="25"/>
  <c r="J30" i="25"/>
  <c r="H30" i="25"/>
  <c r="F30" i="25"/>
  <c r="J29" i="25"/>
  <c r="I29" i="25"/>
  <c r="G29" i="25"/>
  <c r="E29" i="25"/>
  <c r="J28" i="25"/>
  <c r="J27" i="25"/>
  <c r="J26" i="25"/>
  <c r="J24" i="25"/>
  <c r="L22" i="25"/>
  <c r="K22" i="25"/>
  <c r="L21" i="25"/>
  <c r="K20" i="25"/>
  <c r="L19" i="25"/>
  <c r="K18" i="25"/>
  <c r="K17" i="25"/>
  <c r="K15" i="25"/>
  <c r="K14" i="25"/>
  <c r="F14" i="25"/>
  <c r="L13" i="25"/>
  <c r="L12" i="25"/>
  <c r="F12" i="25"/>
  <c r="L11" i="25"/>
  <c r="F11" i="25"/>
  <c r="L10" i="25"/>
  <c r="K9" i="25"/>
  <c r="E9" i="25"/>
  <c r="F9" i="15"/>
  <c r="A34" i="41"/>
  <c r="B34" i="41" s="1"/>
  <c r="A33" i="41"/>
  <c r="B33" i="41" s="1"/>
  <c r="A32" i="41"/>
  <c r="B32" i="41" s="1"/>
  <c r="A31" i="41"/>
  <c r="B31" i="41" s="1"/>
  <c r="B29" i="41"/>
  <c r="A29" i="41"/>
  <c r="A28" i="41"/>
  <c r="B28" i="41" s="1"/>
  <c r="A27" i="41"/>
  <c r="B27" i="41" s="1"/>
  <c r="A26" i="41"/>
  <c r="B26" i="41" s="1"/>
  <c r="A25" i="41"/>
  <c r="B25" i="41" s="1"/>
  <c r="B24" i="41"/>
  <c r="A24" i="41"/>
  <c r="A23" i="41"/>
  <c r="B23" i="41" s="1"/>
  <c r="A22" i="41"/>
  <c r="B22" i="41" s="1"/>
  <c r="A21" i="41"/>
  <c r="B21" i="41" s="1"/>
  <c r="A20" i="41"/>
  <c r="B20" i="41" s="1"/>
  <c r="A19" i="41"/>
  <c r="B19" i="41" s="1"/>
  <c r="A18" i="41"/>
  <c r="B18" i="41" s="1"/>
  <c r="A17" i="41"/>
  <c r="B17" i="41" s="1"/>
  <c r="A16" i="41"/>
  <c r="B16" i="41" s="1"/>
  <c r="A15" i="41"/>
  <c r="B15" i="41" s="1"/>
  <c r="A14" i="41"/>
  <c r="B14" i="41" s="1"/>
  <c r="B13" i="41"/>
  <c r="A13" i="41"/>
  <c r="A12" i="41"/>
  <c r="B12" i="41" s="1"/>
  <c r="A11" i="41"/>
  <c r="B11" i="41" s="1"/>
  <c r="A10" i="41"/>
  <c r="B10" i="41" s="1"/>
  <c r="A9" i="41"/>
  <c r="B9" i="41" s="1"/>
  <c r="A8" i="41"/>
  <c r="B8" i="41" s="1"/>
  <c r="A7" i="41"/>
  <c r="B7" i="41" s="1"/>
  <c r="A6" i="41"/>
  <c r="B6" i="41" s="1"/>
  <c r="D421" i="13"/>
  <c r="F421" i="13" s="1"/>
  <c r="C34" i="41" s="1"/>
  <c r="D329" i="13"/>
  <c r="F329" i="13" s="1"/>
  <c r="C27" i="41" s="1"/>
  <c r="D315" i="13"/>
  <c r="D314" i="13"/>
  <c r="F314" i="13" s="1"/>
  <c r="F315" i="13" s="1"/>
  <c r="C26" i="41" s="1"/>
  <c r="E299" i="13"/>
  <c r="G299" i="13" s="1"/>
  <c r="D25" i="41" s="1"/>
  <c r="E270" i="13"/>
  <c r="E269" i="13"/>
  <c r="F237" i="13"/>
  <c r="E209" i="13"/>
  <c r="D208" i="13"/>
  <c r="F207" i="13"/>
  <c r="F208" i="13" s="1"/>
  <c r="E194" i="13"/>
  <c r="E193" i="13"/>
  <c r="G192" i="13"/>
  <c r="G193" i="13" s="1"/>
  <c r="G194" i="13" s="1"/>
  <c r="D18" i="41" s="1"/>
  <c r="E16" i="15" s="1"/>
  <c r="G162" i="13"/>
  <c r="D150" i="13"/>
  <c r="G147" i="13"/>
  <c r="G132" i="13"/>
  <c r="D14" i="41" s="1"/>
  <c r="F116" i="13"/>
  <c r="C13" i="41" s="1"/>
  <c r="F101" i="13"/>
  <c r="C12" i="41" s="1"/>
  <c r="D87" i="13"/>
  <c r="F86" i="13"/>
  <c r="E75" i="13"/>
  <c r="E74" i="13"/>
  <c r="E73" i="13"/>
  <c r="D72" i="13"/>
  <c r="F71" i="13"/>
  <c r="F72" i="13" s="1"/>
  <c r="G56" i="13"/>
  <c r="D9" i="41" s="1"/>
  <c r="E43" i="13"/>
  <c r="F41" i="13"/>
  <c r="F26" i="13"/>
  <c r="D12" i="13"/>
  <c r="F12" i="13" s="1"/>
  <c r="G26" i="11"/>
  <c r="E11" i="11"/>
  <c r="G11" i="11" s="1"/>
  <c r="G12" i="11" s="1"/>
  <c r="D56" i="12"/>
  <c r="F56" i="12" s="1"/>
  <c r="F57" i="12" s="1"/>
  <c r="F41" i="12"/>
  <c r="E28" i="12"/>
  <c r="F11" i="12"/>
  <c r="K42" i="7"/>
  <c r="I42" i="7"/>
  <c r="K35" i="7"/>
  <c r="I35" i="7"/>
  <c r="H35" i="7"/>
  <c r="K34" i="7"/>
  <c r="I34" i="7"/>
  <c r="H34" i="7"/>
  <c r="K33" i="7"/>
  <c r="I33" i="7"/>
  <c r="E33" i="7"/>
  <c r="K32" i="7"/>
  <c r="I32" i="7"/>
  <c r="H32" i="7"/>
  <c r="K31" i="7"/>
  <c r="I31" i="7"/>
  <c r="E31" i="7"/>
  <c r="D31" i="7"/>
  <c r="K30" i="7"/>
  <c r="H30" i="7"/>
  <c r="K29" i="7"/>
  <c r="K21" i="7"/>
  <c r="K15" i="7"/>
  <c r="J15" i="7"/>
  <c r="I15" i="7"/>
  <c r="H15" i="7"/>
  <c r="K14" i="7"/>
  <c r="J14" i="7"/>
  <c r="I14" i="7"/>
  <c r="H14" i="7"/>
  <c r="K13" i="7"/>
  <c r="I13" i="7"/>
  <c r="H13" i="7"/>
  <c r="K12" i="7"/>
  <c r="I12" i="7"/>
  <c r="H12" i="7"/>
  <c r="G12" i="7"/>
  <c r="K11" i="7"/>
  <c r="J11" i="7"/>
  <c r="K10" i="7"/>
  <c r="J10" i="7"/>
  <c r="E10" i="7"/>
  <c r="K9" i="7"/>
  <c r="K43" i="27"/>
  <c r="I43" i="27"/>
  <c r="K37" i="27"/>
  <c r="I37" i="27"/>
  <c r="H37" i="27"/>
  <c r="K36" i="27"/>
  <c r="I36" i="27"/>
  <c r="H36" i="27"/>
  <c r="K35" i="27"/>
  <c r="I35" i="27"/>
  <c r="H35" i="27"/>
  <c r="K34" i="27"/>
  <c r="J34" i="27"/>
  <c r="E34" i="27"/>
  <c r="D34" i="27"/>
  <c r="K33" i="27"/>
  <c r="I33" i="27"/>
  <c r="H33" i="27"/>
  <c r="G33" i="27"/>
  <c r="K32" i="27"/>
  <c r="I32" i="27"/>
  <c r="H32" i="27"/>
  <c r="G32" i="27"/>
  <c r="K31" i="27"/>
  <c r="K22" i="27"/>
  <c r="I22" i="27"/>
  <c r="K13" i="27"/>
  <c r="I13" i="27"/>
  <c r="H13" i="27"/>
  <c r="K12" i="27"/>
  <c r="I12" i="27"/>
  <c r="H12" i="27"/>
  <c r="K11" i="27"/>
  <c r="I11" i="27"/>
  <c r="E11" i="27"/>
  <c r="K10" i="27"/>
  <c r="I10" i="27"/>
  <c r="H10" i="27"/>
  <c r="K9" i="27"/>
  <c r="F25" i="6"/>
  <c r="E25" i="6"/>
  <c r="L9" i="6"/>
  <c r="L8" i="6"/>
  <c r="J8" i="6"/>
  <c r="H29" i="5"/>
  <c r="F29" i="5"/>
  <c r="N8" i="5"/>
  <c r="G8" i="5"/>
  <c r="E8" i="5"/>
  <c r="H20" i="10"/>
  <c r="F20" i="10"/>
  <c r="E20" i="10"/>
  <c r="I12" i="10"/>
  <c r="G12" i="10"/>
  <c r="G11" i="10"/>
  <c r="I11" i="10" s="1"/>
  <c r="N10" i="10"/>
  <c r="I10" i="10"/>
  <c r="G10" i="10"/>
  <c r="N9" i="10"/>
  <c r="N8" i="10"/>
  <c r="G29" i="9"/>
  <c r="K20" i="9"/>
  <c r="I20" i="9"/>
  <c r="H20" i="9"/>
  <c r="G20" i="9"/>
  <c r="K12" i="9"/>
  <c r="G12" i="9"/>
  <c r="P11" i="9"/>
  <c r="E11" i="9"/>
  <c r="P10" i="9"/>
  <c r="K10" i="9"/>
  <c r="G10" i="9"/>
  <c r="P9" i="9"/>
  <c r="N9" i="9"/>
  <c r="E9" i="9"/>
  <c r="N8" i="9" s="1"/>
  <c r="P8" i="9"/>
  <c r="H21" i="8"/>
  <c r="O8" i="8" s="1"/>
  <c r="G21" i="8"/>
  <c r="E21" i="8"/>
  <c r="F9" i="8"/>
  <c r="J23" i="1"/>
  <c r="H23" i="1"/>
  <c r="G23" i="1"/>
  <c r="E23" i="1"/>
  <c r="J22" i="1"/>
  <c r="G22" i="1"/>
  <c r="I20" i="1"/>
  <c r="E20" i="1"/>
  <c r="J16" i="1"/>
  <c r="G16" i="1"/>
  <c r="E14" i="1"/>
  <c r="O11" i="1"/>
  <c r="J11" i="1"/>
  <c r="G11" i="1"/>
  <c r="O10" i="1"/>
  <c r="O9" i="1"/>
  <c r="M9" i="1"/>
  <c r="I9" i="1"/>
  <c r="E9" i="1"/>
  <c r="O8" i="1"/>
  <c r="M8" i="1"/>
  <c r="D35" i="23"/>
  <c r="C35" i="23"/>
  <c r="F73" i="13" l="1"/>
  <c r="F74" i="13" s="1"/>
  <c r="F75" i="13" s="1"/>
  <c r="C10" i="41" s="1"/>
  <c r="F209" i="13"/>
  <c r="C19" i="41" s="1"/>
  <c r="F17" i="15" s="1"/>
  <c r="I20" i="10"/>
  <c r="E42" i="11"/>
  <c r="G42" i="11" s="1"/>
  <c r="G43" i="11" s="1"/>
  <c r="C14" i="22"/>
  <c r="C7" i="22"/>
  <c r="C15" i="22" s="1"/>
  <c r="C20" i="22" s="1"/>
  <c r="C22" i="22" s="1"/>
  <c r="E13" i="13"/>
  <c r="F13" i="13" s="1"/>
  <c r="C6" i="41" s="1"/>
  <c r="F238" i="13"/>
  <c r="C21" i="41" s="1"/>
  <c r="G270" i="13"/>
  <c r="D23" i="41" s="1"/>
  <c r="E18" i="25"/>
  <c r="E36" i="25" s="1"/>
  <c r="E24" i="15"/>
  <c r="F18" i="15"/>
  <c r="F17" i="25" s="1"/>
  <c r="F19" i="25"/>
  <c r="F24" i="15"/>
  <c r="G148" i="13"/>
  <c r="F87" i="13"/>
  <c r="C11" i="41" s="1"/>
  <c r="G163" i="13"/>
  <c r="D16" i="41" s="1"/>
  <c r="E27" i="13"/>
  <c r="F27" i="13" s="1"/>
  <c r="C7" i="41" s="1"/>
  <c r="D42" i="13"/>
  <c r="F42" i="13" s="1"/>
  <c r="F43" i="13" s="1"/>
  <c r="C8" i="41" s="1"/>
  <c r="E20" i="9"/>
  <c r="P8" i="10"/>
  <c r="P12" i="10" s="1"/>
  <c r="D26" i="12"/>
  <c r="F26" i="12" s="1"/>
  <c r="F27" i="12" s="1"/>
  <c r="F28" i="12" s="1"/>
  <c r="F36" i="25" l="1"/>
  <c r="H17" i="25"/>
  <c r="L17" i="25" s="1"/>
  <c r="C35" i="41"/>
  <c r="E149" i="13"/>
  <c r="G149" i="13" s="1"/>
  <c r="G150" i="13" s="1"/>
  <c r="D15" i="41" s="1"/>
  <c r="D17" i="20" l="1"/>
  <c r="D9" i="17"/>
  <c r="D35" i="41"/>
  <c r="A6" i="25" a="1"/>
  <c r="B13" i="20" l="1"/>
  <c r="B6" i="20"/>
  <c r="C12" i="19"/>
  <c r="C13" i="19"/>
  <c r="H16" i="25"/>
  <c r="L16" i="25" s="1"/>
  <c r="C23" i="19"/>
  <c r="C11" i="19"/>
  <c r="B18" i="20"/>
  <c r="B12" i="20"/>
  <c r="C22" i="19"/>
  <c r="C19" i="19"/>
  <c r="C21" i="19"/>
  <c r="C18" i="19"/>
  <c r="B11" i="20"/>
  <c r="B17" i="20"/>
  <c r="B10" i="20"/>
  <c r="C17" i="19"/>
  <c r="B9" i="20"/>
  <c r="C16" i="19"/>
  <c r="B16" i="20"/>
  <c r="B15" i="20"/>
  <c r="B8" i="20"/>
  <c r="C15" i="19"/>
  <c r="B14" i="20"/>
  <c r="B7" i="20"/>
  <c r="C14" i="19"/>
  <c r="A10" i="17"/>
  <c r="A9" i="17"/>
  <c r="A8" i="17"/>
  <c r="A7" i="17"/>
  <c r="A16" i="17"/>
  <c r="A6" i="17"/>
  <c r="C9" i="17"/>
  <c r="A15" i="17"/>
  <c r="C8" i="17"/>
  <c r="A12" i="17"/>
  <c r="C7" i="17"/>
  <c r="A11" i="17"/>
  <c r="A17" i="18"/>
  <c r="A10" i="18"/>
  <c r="D36" i="25"/>
  <c r="G33" i="25"/>
  <c r="I33" i="25" s="1"/>
  <c r="H20" i="25"/>
  <c r="L20" i="25" s="1"/>
  <c r="H15" i="25"/>
  <c r="L15" i="25" s="1"/>
  <c r="G6" i="25"/>
  <c r="C36" i="25"/>
  <c r="G28" i="25"/>
  <c r="I28" i="25" s="1"/>
  <c r="H23" i="25"/>
  <c r="J23" i="25" s="1"/>
  <c r="G12" i="25"/>
  <c r="K12" i="25" s="1"/>
  <c r="G10" i="25"/>
  <c r="K10" i="25" s="1"/>
  <c r="A9" i="18"/>
  <c r="A16" i="18"/>
  <c r="A7" i="18"/>
  <c r="G30" i="25"/>
  <c r="I30" i="25" s="1"/>
  <c r="A6" i="25"/>
  <c r="G35" i="25"/>
  <c r="I35" i="25" s="1"/>
  <c r="G27" i="25"/>
  <c r="I27" i="25" s="1"/>
  <c r="G19" i="25"/>
  <c r="K19" i="25" s="1"/>
  <c r="H14" i="25"/>
  <c r="L14" i="25" s="1"/>
  <c r="H9" i="25"/>
  <c r="A6" i="18"/>
  <c r="A5" i="18"/>
  <c r="G21" i="25"/>
  <c r="K21" i="25" s="1"/>
  <c r="B7" i="16" s="1"/>
  <c r="F23" i="19" s="1"/>
  <c r="E22" i="19" s="1"/>
  <c r="G11" i="25"/>
  <c r="K11" i="25" s="1"/>
  <c r="G8" i="25"/>
  <c r="K8" i="25" s="1"/>
  <c r="A14" i="18"/>
  <c r="G26" i="25"/>
  <c r="I26" i="25" s="1"/>
  <c r="F11" i="19" s="1"/>
  <c r="G13" i="25"/>
  <c r="K13" i="25" s="1"/>
  <c r="H25" i="25"/>
  <c r="J25" i="25" s="1"/>
  <c r="B7" i="18" s="1"/>
  <c r="H18" i="25"/>
  <c r="L18" i="25" s="1"/>
  <c r="G7" i="25"/>
  <c r="K7" i="25" s="1"/>
  <c r="A15" i="18"/>
  <c r="G34" i="25"/>
  <c r="I34" i="25" s="1"/>
  <c r="A19" i="18"/>
  <c r="A18" i="18"/>
  <c r="A13" i="18"/>
  <c r="H36" i="25" l="1"/>
  <c r="D8" i="17"/>
  <c r="D16" i="20"/>
  <c r="B19" i="18"/>
  <c r="F19" i="19"/>
  <c r="B8" i="17"/>
  <c r="C8" i="20"/>
  <c r="B10" i="18"/>
  <c r="F12" i="19"/>
  <c r="B12" i="17"/>
  <c r="C12" i="20"/>
  <c r="B11" i="17"/>
  <c r="C11" i="20"/>
  <c r="B7" i="17"/>
  <c r="C7" i="20"/>
  <c r="B13" i="18"/>
  <c r="F13" i="19"/>
  <c r="B15" i="17"/>
  <c r="C13" i="20"/>
  <c r="D7" i="17"/>
  <c r="D15" i="20"/>
  <c r="B16" i="17"/>
  <c r="D14" i="20"/>
  <c r="B10" i="17"/>
  <c r="C10" i="20"/>
  <c r="B18" i="18"/>
  <c r="F18" i="19"/>
  <c r="K6" i="25"/>
  <c r="C6" i="20" s="1"/>
  <c r="G36" i="25"/>
  <c r="L9" i="25"/>
  <c r="D9" i="20" s="1"/>
  <c r="B9" i="18"/>
  <c r="I36" i="25"/>
  <c r="J36" i="25"/>
  <c r="B5" i="18"/>
  <c r="J38" i="25"/>
  <c r="C20" i="18" l="1"/>
  <c r="D10" i="17"/>
  <c r="C11" i="18"/>
  <c r="I37" i="25"/>
  <c r="I38" i="25" s="1"/>
  <c r="E10" i="19"/>
  <c r="B17" i="17"/>
  <c r="C8" i="18"/>
  <c r="C12" i="18" s="1"/>
  <c r="E7" i="19"/>
  <c r="C20" i="20"/>
  <c r="L36" i="25"/>
  <c r="B9" i="17"/>
  <c r="B6" i="17"/>
  <c r="K36" i="25"/>
  <c r="K38" i="25"/>
  <c r="C23" i="18" l="1"/>
  <c r="B6" i="16"/>
  <c r="C8" i="16" s="1"/>
  <c r="C10" i="16" s="1"/>
  <c r="D13" i="17" s="1"/>
  <c r="D20" i="17" s="1"/>
  <c r="F21" i="19"/>
  <c r="E20" i="19" s="1"/>
  <c r="E24" i="19" s="1"/>
  <c r="C21" i="18"/>
  <c r="F9" i="19"/>
  <c r="F24" i="19" s="1"/>
  <c r="L37" i="25"/>
  <c r="L38" i="25" s="1"/>
  <c r="B13" i="17"/>
  <c r="B20" i="17" s="1"/>
  <c r="D18" i="20" l="1"/>
  <c r="D20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<sst xmlns="http://schemas.openxmlformats.org/spreadsheetml/2006/main" count="1068" uniqueCount="278">
  <si>
    <t xml:space="preserve">TRIAL BALANCE </t>
  </si>
  <si>
    <t>ACC.NO</t>
  </si>
  <si>
    <t xml:space="preserve">ACCOUNT NAME </t>
  </si>
  <si>
    <t>DEBIT</t>
  </si>
  <si>
    <t xml:space="preserve">CREDIT </t>
  </si>
  <si>
    <t>1-1100</t>
  </si>
  <si>
    <t>Cash in bank</t>
  </si>
  <si>
    <t>1-1200</t>
  </si>
  <si>
    <t>Petty Cash</t>
  </si>
  <si>
    <t>1-1300</t>
  </si>
  <si>
    <t>Accounts Receivable</t>
  </si>
  <si>
    <t>1-1400</t>
  </si>
  <si>
    <t>Allowance for Doubtful Debt</t>
  </si>
  <si>
    <t>1-1500</t>
  </si>
  <si>
    <t>Merchandise Inventory</t>
  </si>
  <si>
    <t>1-1600</t>
  </si>
  <si>
    <t>Store Supplies</t>
  </si>
  <si>
    <t>1-1700</t>
  </si>
  <si>
    <t>Prepaid Insurance</t>
  </si>
  <si>
    <t>1-2100</t>
  </si>
  <si>
    <t>Equipment at Cost</t>
  </si>
  <si>
    <t>1-2110</t>
  </si>
  <si>
    <t>Equipment Accum Dep</t>
  </si>
  <si>
    <t>2-1100</t>
  </si>
  <si>
    <t>Accounts Payable</t>
  </si>
  <si>
    <t>2-1200</t>
  </si>
  <si>
    <t>Expense Payable</t>
  </si>
  <si>
    <t>2-1400</t>
  </si>
  <si>
    <t>PPN Payable</t>
  </si>
  <si>
    <t>2-1500</t>
  </si>
  <si>
    <t>PPN Outcome</t>
  </si>
  <si>
    <t>2-1600</t>
  </si>
  <si>
    <t>PPN Income</t>
  </si>
  <si>
    <t>3-1100</t>
  </si>
  <si>
    <t>KOPMEN SBW Capital</t>
  </si>
  <si>
    <t>3-1200</t>
  </si>
  <si>
    <t>KOPMEN SBW Drawing</t>
  </si>
  <si>
    <t>3-1300</t>
  </si>
  <si>
    <t>Income Summary</t>
  </si>
  <si>
    <t>4-1100</t>
  </si>
  <si>
    <t>Sales</t>
  </si>
  <si>
    <t>4-1200</t>
  </si>
  <si>
    <t>Sales Retur</t>
  </si>
  <si>
    <t>-</t>
  </si>
  <si>
    <t>4-1400</t>
  </si>
  <si>
    <t>Freight Collected</t>
  </si>
  <si>
    <t>5-1100</t>
  </si>
  <si>
    <t>Cost of goods Sold</t>
  </si>
  <si>
    <t>5-1200</t>
  </si>
  <si>
    <r>
      <rPr>
        <sz val="10"/>
        <color rgb="FF000000"/>
        <rFont val="Tahoma"/>
        <charset val="134"/>
      </rPr>
      <t>Freight Paid</t>
    </r>
    <r>
      <rPr>
        <sz val="12"/>
        <color theme="1"/>
        <rFont val="Tahoma"/>
        <charset val="134"/>
      </rPr>
      <t xml:space="preserve"> </t>
    </r>
  </si>
  <si>
    <t>6-1100</t>
  </si>
  <si>
    <t>6-1200</t>
  </si>
  <si>
    <t>Store Supplies Expenses</t>
  </si>
  <si>
    <t>6-1300</t>
  </si>
  <si>
    <t>Bad Debt Expense</t>
  </si>
  <si>
    <t>6-1400</t>
  </si>
  <si>
    <t>Depreciation Expense</t>
  </si>
  <si>
    <t>6-1500</t>
  </si>
  <si>
    <t>Insurance Expense</t>
  </si>
  <si>
    <t>6-1700</t>
  </si>
  <si>
    <t>Wages &amp; Salaries</t>
  </si>
  <si>
    <t>6-1800</t>
  </si>
  <si>
    <t>Other Operating Expense</t>
  </si>
  <si>
    <t>CASH RECEIPT JOURNAL</t>
  </si>
  <si>
    <t>DATE</t>
  </si>
  <si>
    <t>DOC. NO</t>
  </si>
  <si>
    <t>DESCRIPTION</t>
  </si>
  <si>
    <t>REF</t>
  </si>
  <si>
    <t>DEBET</t>
  </si>
  <si>
    <t>CREDIT</t>
  </si>
  <si>
    <t>RECAPITULATION</t>
  </si>
  <si>
    <t>CASH IN BANK</t>
  </si>
  <si>
    <t>OTHER</t>
  </si>
  <si>
    <t>ACCOUNTS RECEIVABLE</t>
  </si>
  <si>
    <t>AMOUNT</t>
  </si>
  <si>
    <t>ACC. NO</t>
  </si>
  <si>
    <t>Juni</t>
  </si>
  <si>
    <t>SAL.21433</t>
  </si>
  <si>
    <t>Mariana Putri Betyani</t>
  </si>
  <si>
    <t>BKM-256</t>
  </si>
  <si>
    <t>Toko Makmur</t>
  </si>
  <si>
    <t>BKM-257</t>
  </si>
  <si>
    <t>Sri Lestari</t>
  </si>
  <si>
    <t>SAL.21434</t>
  </si>
  <si>
    <t>Toko Sofiyah</t>
  </si>
  <si>
    <t>BKM-258</t>
  </si>
  <si>
    <t>BKM-259</t>
  </si>
  <si>
    <t>BKM-260</t>
  </si>
  <si>
    <t>SAL.21435</t>
  </si>
  <si>
    <t>CASH PAYMENT JOURNAL</t>
  </si>
  <si>
    <t>ACCOUNTS PAYABLE</t>
  </si>
  <si>
    <t>Gaji Karyawan</t>
  </si>
  <si>
    <t>BKK-361</t>
  </si>
  <si>
    <t>PT.PB  Tunggal Perkasa</t>
  </si>
  <si>
    <t>BKK-362</t>
  </si>
  <si>
    <t>PLN&amp;Internet</t>
  </si>
  <si>
    <t>BKK-363</t>
  </si>
  <si>
    <t>PDAM</t>
  </si>
  <si>
    <t>SALES  JOURNAL</t>
  </si>
  <si>
    <t>SALES</t>
  </si>
  <si>
    <t>VAT OUT</t>
  </si>
  <si>
    <t>FT.01</t>
  </si>
  <si>
    <t xml:space="preserve">Sri Lestari </t>
  </si>
  <si>
    <t>FT.02</t>
  </si>
  <si>
    <t>PURCHASE JOURNAL</t>
  </si>
  <si>
    <t>MERCHANDISE INVENTORY</t>
  </si>
  <si>
    <t>VAT IN</t>
  </si>
  <si>
    <t>Shoppe Indonesia</t>
  </si>
  <si>
    <t>PT PB Tunggal Perkasa</t>
  </si>
  <si>
    <t xml:space="preserve">PT Sumber Lancar </t>
  </si>
  <si>
    <t>PN567.9</t>
  </si>
  <si>
    <t>PT Cahaya Abadi</t>
  </si>
  <si>
    <t>PETTY CASH JOURNAL</t>
  </si>
  <si>
    <t>Juni 2025</t>
  </si>
  <si>
    <t>VK.120</t>
  </si>
  <si>
    <t>VK.121</t>
  </si>
  <si>
    <t>Other Operating Expenses</t>
  </si>
  <si>
    <t>TOTAL</t>
  </si>
  <si>
    <t>GENERAL JOURNAL</t>
  </si>
  <si>
    <t>DOC.NO</t>
  </si>
  <si>
    <t>REFF</t>
  </si>
  <si>
    <t>Juni 22</t>
  </si>
  <si>
    <t>ND6-1</t>
  </si>
  <si>
    <t>Utang Dagang</t>
  </si>
  <si>
    <t>Persediaan Barang Dagang</t>
  </si>
  <si>
    <t>PPN Masukan</t>
  </si>
  <si>
    <t>INVENTORY CARD</t>
  </si>
  <si>
    <t>Beras Pin Pin 5kg</t>
  </si>
  <si>
    <t>IN</t>
  </si>
  <si>
    <t>OUT</t>
  </si>
  <si>
    <t>BALANCE</t>
  </si>
  <si>
    <t>QTY</t>
  </si>
  <si>
    <t>PRICE</t>
  </si>
  <si>
    <t>SAL.1433</t>
  </si>
  <si>
    <t>SAL.1434</t>
  </si>
  <si>
    <t>ITEM :</t>
  </si>
  <si>
    <t>Indomie Goreng 80 gram</t>
  </si>
  <si>
    <t>FT 01</t>
  </si>
  <si>
    <t>PN.567.9</t>
  </si>
  <si>
    <t>Rinso Matic Liq Pro Laundry 4.5L</t>
  </si>
  <si>
    <t xml:space="preserve">Gula Kebon Agung 1Kg </t>
  </si>
  <si>
    <t>SUBSIDIARY LEDGER ACCOUNT RECEIVABE</t>
  </si>
  <si>
    <t>CUSTOMER</t>
  </si>
  <si>
    <t>Toko Makmur  (Bu Yenne)</t>
  </si>
  <si>
    <t>ID</t>
  </si>
  <si>
    <t>C001</t>
  </si>
  <si>
    <t xml:space="preserve">Saldo Awal </t>
  </si>
  <si>
    <t>√</t>
  </si>
  <si>
    <t xml:space="preserve">Pelunasan </t>
  </si>
  <si>
    <t>C002</t>
  </si>
  <si>
    <t>C003</t>
  </si>
  <si>
    <t>C004</t>
  </si>
  <si>
    <t>SUBSIDIARY LEDGER ACCOUNT PAYABLE</t>
  </si>
  <si>
    <t>SUPPLIER</t>
  </si>
  <si>
    <t>PT. PB Tunggal Perkasa</t>
  </si>
  <si>
    <t>S001</t>
  </si>
  <si>
    <t>Purchase</t>
  </si>
  <si>
    <t>Pelunasan</t>
  </si>
  <si>
    <t>CV. Shopee Indonesia</t>
  </si>
  <si>
    <t>S002</t>
  </si>
  <si>
    <t xml:space="preserve">PT. Sumber Lancar </t>
  </si>
  <si>
    <t>S003</t>
  </si>
  <si>
    <t>Retur Pembelian</t>
  </si>
  <si>
    <t xml:space="preserve">PT. Cahaya Abadi </t>
  </si>
  <si>
    <t>S004</t>
  </si>
  <si>
    <t>GENERAL LEDGER</t>
  </si>
  <si>
    <t>ACCOUNT</t>
  </si>
  <si>
    <t>NUMBER</t>
  </si>
  <si>
    <t>Saldo Awal</t>
  </si>
  <si>
    <t>Posting</t>
  </si>
  <si>
    <t>CRJ</t>
  </si>
  <si>
    <t>CPJ</t>
  </si>
  <si>
    <t>PETTY CASH</t>
  </si>
  <si>
    <t>PCJ</t>
  </si>
  <si>
    <t>SJ</t>
  </si>
  <si>
    <t>ALLOWANCE FOR DOUBTFUL DEBT</t>
  </si>
  <si>
    <t>PJ</t>
  </si>
  <si>
    <t>GJ</t>
  </si>
  <si>
    <t>STORE SUPPLIES</t>
  </si>
  <si>
    <t>PREPAID INSURANCE</t>
  </si>
  <si>
    <t>EQUIPMENT AT COST</t>
  </si>
  <si>
    <t>EQUIPMENT ACCUM DEPT</t>
  </si>
  <si>
    <t>EXPENSE PAYABLE</t>
  </si>
  <si>
    <t>PPN PAYABLE</t>
  </si>
  <si>
    <t>PPN OUTCOME</t>
  </si>
  <si>
    <t>PPN INCOME</t>
  </si>
  <si>
    <t>KOPMEN SBW CAPITAL</t>
  </si>
  <si>
    <t>KOPMEN SBW DRAWING</t>
  </si>
  <si>
    <t>INCOME SUMMARY</t>
  </si>
  <si>
    <t>SALES RETUR</t>
  </si>
  <si>
    <t>FREIGHT COLLECTED</t>
  </si>
  <si>
    <t>COST OF GOODS SOLD</t>
  </si>
  <si>
    <t>FREIGHT PAID</t>
  </si>
  <si>
    <t>ELECTRICITY &amp; WATER EXPENSES</t>
  </si>
  <si>
    <t>STORE SUPPLIES EXPENSES</t>
  </si>
  <si>
    <t>DEPRECIATION EXPENSE</t>
  </si>
  <si>
    <t>INSURANCE EXPENSE</t>
  </si>
  <si>
    <t>WAGES &amp; SALARIES</t>
  </si>
  <si>
    <t>OTHER OPERATING EXPENSE</t>
  </si>
  <si>
    <t>ADJUSTMENT JOURNAL</t>
  </si>
  <si>
    <t>BM6-1</t>
  </si>
  <si>
    <t>Store Supplies Expense</t>
  </si>
  <si>
    <t xml:space="preserve">Allowance for Doubtful </t>
  </si>
  <si>
    <t xml:space="preserve">PPN Income </t>
  </si>
  <si>
    <t>WORK SHEET</t>
  </si>
  <si>
    <t>ACCOUNT NAME</t>
  </si>
  <si>
    <t>TRIAL BALANCE</t>
  </si>
  <si>
    <t>ADJUSMENT</t>
  </si>
  <si>
    <t>AFTER ADJUSTMENT</t>
  </si>
  <si>
    <t>INCOME STATEMENT</t>
  </si>
  <si>
    <t>FINANCIAL POSITION</t>
  </si>
  <si>
    <t>STATEMENT OF COMPREHENSIVE INCOME</t>
  </si>
  <si>
    <t>Net Sales</t>
  </si>
  <si>
    <t>Total Cost Of Goods Sold</t>
  </si>
  <si>
    <t xml:space="preserve">Gross Profit </t>
  </si>
  <si>
    <t>Total Operating Expenses</t>
  </si>
  <si>
    <t>Operating Profit</t>
  </si>
  <si>
    <t>Net Profit</t>
  </si>
  <si>
    <t>RETAIRNED EARNING STATEMENT</t>
  </si>
  <si>
    <t>STATEMENT OF FINANCIAL POSITION</t>
  </si>
  <si>
    <t>CASH FLOW STATEMENT</t>
  </si>
  <si>
    <t>CLOSING JOURNAL</t>
  </si>
  <si>
    <t>TRIAL BALANCE AFTER CLOSING ENTRIES</t>
  </si>
  <si>
    <t>Modal Awal 1 Juni 2025</t>
  </si>
  <si>
    <t xml:space="preserve">Pengambilan Pribadi </t>
  </si>
  <si>
    <t xml:space="preserve">Laba Bulan Juni </t>
  </si>
  <si>
    <t>Modal akhir 30 Juni 2025</t>
  </si>
  <si>
    <t>Prive</t>
  </si>
  <si>
    <t>PV.751</t>
  </si>
  <si>
    <t>BKK-254</t>
  </si>
  <si>
    <t>Saldo  Awal</t>
  </si>
  <si>
    <t xml:space="preserve">Aktiva Lancar : </t>
  </si>
  <si>
    <t xml:space="preserve">Aktiva Tetap : </t>
  </si>
  <si>
    <t>Utang Lancar :</t>
  </si>
  <si>
    <t>Kewajiban dan Ekuitas</t>
  </si>
  <si>
    <t xml:space="preserve">Arus Kas Dari Aktivitas Operasi </t>
  </si>
  <si>
    <t xml:space="preserve">Penerimaan Dari Pelanggan </t>
  </si>
  <si>
    <t xml:space="preserve">Pembyaran Kepada Suplier </t>
  </si>
  <si>
    <t xml:space="preserve">Total Penerimaan Operasi </t>
  </si>
  <si>
    <t xml:space="preserve">Pembayaran : </t>
  </si>
  <si>
    <t xml:space="preserve">Pembayaran Gaji </t>
  </si>
  <si>
    <t>Electricity, Internet &amp; Water expenses</t>
  </si>
  <si>
    <t xml:space="preserve">Pembelian Perlengkapan </t>
  </si>
  <si>
    <t xml:space="preserve">Beban lain-lain </t>
  </si>
  <si>
    <t xml:space="preserve">Arus kas Bersih Aktivitas Operasi </t>
  </si>
  <si>
    <t>Aktivitas Pendanaan</t>
  </si>
  <si>
    <t xml:space="preserve">Total arus Kas bersih </t>
  </si>
  <si>
    <t xml:space="preserve">Saldo Awal 1 Juni 2025 </t>
  </si>
  <si>
    <t xml:space="preserve">Kas Dan Setara Kas Akhir </t>
  </si>
  <si>
    <t>1-1100 √</t>
  </si>
  <si>
    <t>5-1100 √</t>
  </si>
  <si>
    <t>1-1300 √</t>
  </si>
  <si>
    <t>1-1500 √</t>
  </si>
  <si>
    <t>2-1500 √</t>
  </si>
  <si>
    <t>4-1100 √</t>
  </si>
  <si>
    <t>2-1100 √</t>
  </si>
  <si>
    <t>2-1200 √</t>
  </si>
  <si>
    <t>6-1100 √</t>
  </si>
  <si>
    <t>3-1200 √</t>
  </si>
  <si>
    <t>1-1200 √</t>
  </si>
  <si>
    <t>4-1400 √</t>
  </si>
  <si>
    <t>2-1600 √</t>
  </si>
  <si>
    <t>5-1200 √</t>
  </si>
  <si>
    <t>1-1600 √</t>
  </si>
  <si>
    <t>6-1800 √</t>
  </si>
  <si>
    <t>Total</t>
  </si>
  <si>
    <t xml:space="preserve"> </t>
  </si>
  <si>
    <t>(1-1100)</t>
  </si>
  <si>
    <t>(1-300)</t>
  </si>
  <si>
    <t>(2-1100)</t>
  </si>
  <si>
    <t>(1=1100)</t>
  </si>
  <si>
    <t>(1-1300)</t>
  </si>
  <si>
    <t>(4-1100)</t>
  </si>
  <si>
    <t>(2-1500)</t>
  </si>
  <si>
    <t>(1-1500)</t>
  </si>
  <si>
    <t>(5-1200)</t>
  </si>
  <si>
    <t>(1-600)</t>
  </si>
  <si>
    <t>(1-200)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</si>
</sst>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65" formatCode="_-[$Rp-421]* #,##0_-;\-[$Rp-421]* #,##0_-;_-[$Rp-421]* &quot;-&quot;_-;_-@_-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sz val="10"/>
      <color rgb="FF000000"/>
      <name val="Tahoma"/>
      <charset val="134"/>
    </font>
    <font>
      <sz val="11"/>
      <color theme="1"/>
      <name val="Arial"/>
      <charset val="134"/>
    </font>
    <font>
      <sz val="12"/>
      <color theme="1"/>
      <name val="Tahoma"/>
      <charset val="134"/>
    </font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name val="Calibri Light"/>
      <family val="2"/>
      <scheme val="maj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C5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175">
    <xf numFmtId="0" fontId="0" fillId="0" borderId="0" xfId="0"/>
    <xf numFmtId="4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44" fontId="0" fillId="0" borderId="1" xfId="0" applyNumberFormat="1" applyBorder="1"/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/>
    <xf numFmtId="44" fontId="0" fillId="2" borderId="1" xfId="1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2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vertical="center" wrapText="1"/>
    </xf>
    <xf numFmtId="44" fontId="11" fillId="0" borderId="9" xfId="0" applyNumberFormat="1" applyFont="1" applyBorder="1" applyAlignment="1">
      <alignment horizontal="center" vertical="center" wrapText="1"/>
    </xf>
    <xf numFmtId="44" fontId="0" fillId="0" borderId="6" xfId="0" applyNumberFormat="1" applyBorder="1"/>
    <xf numFmtId="44" fontId="11" fillId="0" borderId="6" xfId="0" applyNumberFormat="1" applyFont="1" applyBorder="1" applyAlignment="1">
      <alignment horizontal="center" vertical="center" wrapText="1"/>
    </xf>
    <xf numFmtId="44" fontId="0" fillId="0" borderId="10" xfId="0" applyNumberFormat="1" applyBorder="1" applyAlignment="1">
      <alignment horizontal="right" vertical="center"/>
    </xf>
    <xf numFmtId="44" fontId="0" fillId="0" borderId="11" xfId="0" applyNumberFormat="1" applyBorder="1"/>
    <xf numFmtId="44" fontId="0" fillId="0" borderId="12" xfId="0" applyNumberFormat="1" applyBorder="1"/>
    <xf numFmtId="44" fontId="0" fillId="0" borderId="13" xfId="0" applyNumberFormat="1" applyBorder="1" applyAlignment="1">
      <alignment horizontal="right" vertical="center"/>
    </xf>
    <xf numFmtId="44" fontId="0" fillId="0" borderId="10" xfId="0" applyNumberFormat="1" applyBorder="1" applyAlignment="1">
      <alignment vertical="center"/>
    </xf>
    <xf numFmtId="44" fontId="0" fillId="0" borderId="9" xfId="0" applyNumberFormat="1" applyBorder="1"/>
    <xf numFmtId="44" fontId="0" fillId="0" borderId="10" xfId="0" applyNumberFormat="1" applyBorder="1"/>
    <xf numFmtId="44" fontId="0" fillId="0" borderId="1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9" fontId="0" fillId="0" borderId="0" xfId="0" applyNumberFormat="1"/>
    <xf numFmtId="0" fontId="0" fillId="0" borderId="15" xfId="0" applyBorder="1" applyAlignment="1">
      <alignment horizontal="center" vertical="center"/>
    </xf>
    <xf numFmtId="44" fontId="0" fillId="0" borderId="1" xfId="1" applyFont="1" applyFill="1" applyBorder="1"/>
    <xf numFmtId="44" fontId="0" fillId="0" borderId="1" xfId="1" applyFont="1" applyFill="1" applyBorder="1" applyAlignment="1">
      <alignment horizontal="center"/>
    </xf>
    <xf numFmtId="44" fontId="4" fillId="0" borderId="1" xfId="1" applyFont="1" applyBorder="1"/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164" fontId="0" fillId="0" borderId="0" xfId="1" applyNumberFormat="1" applyFont="1"/>
    <xf numFmtId="164" fontId="0" fillId="0" borderId="0" xfId="1" applyNumberFormat="1" applyFont="1" applyAlignment="1">
      <alignment horizontal="center" vertical="center"/>
    </xf>
    <xf numFmtId="164" fontId="0" fillId="0" borderId="1" xfId="1" applyNumberFormat="1" applyFont="1" applyBorder="1" applyAlignment="1">
      <alignment vertical="center"/>
    </xf>
    <xf numFmtId="164" fontId="0" fillId="0" borderId="1" xfId="1" applyNumberFormat="1" applyFont="1" applyBorder="1" applyAlignment="1">
      <alignment horizontal="center"/>
    </xf>
    <xf numFmtId="165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164" fontId="0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164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4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8" xfId="0" quotePrefix="1" applyFont="1" applyBorder="1" applyAlignment="1">
      <alignment horizontal="center" vertical="center" wrapText="1"/>
    </xf>
    <xf numFmtId="17" fontId="10" fillId="0" borderId="8" xfId="0" quotePrefix="1" applyNumberFormat="1" applyFont="1" applyBorder="1" applyAlignment="1">
      <alignment horizontal="center" vertical="center" wrapText="1"/>
    </xf>
    <xf numFmtId="44" fontId="0" fillId="0" borderId="10" xfId="0" quotePrefix="1" applyNumberFormat="1" applyBorder="1"/>
    <xf numFmtId="0" fontId="0" fillId="0" borderId="1" xfId="0" quotePrefix="1" applyBorder="1" applyAlignment="1">
      <alignment horizontal="center" vertical="center"/>
    </xf>
    <xf numFmtId="44" fontId="0" fillId="0" borderId="1" xfId="1" quotePrefix="1" applyFont="1" applyBorder="1"/>
    <xf numFmtId="164" fontId="0" fillId="0" borderId="0" xfId="1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6" fillId="0" borderId="1" xfId="0" applyFont="1" applyBorder="1"/>
    <xf numFmtId="44" fontId="0" fillId="0" borderId="0" xfId="1" applyFon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indent="2"/>
    </xf>
    <xf numFmtId="44" fontId="0" fillId="0" borderId="1" xfId="0" applyNumberFormat="1" applyBorder="1" applyAlignment="1">
      <alignment horizontal="left" indent="2"/>
    </xf>
    <xf numFmtId="0" fontId="17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vertical="center" wrapText="1"/>
    </xf>
    <xf numFmtId="0" fontId="17" fillId="0" borderId="8" xfId="0" quotePrefix="1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vertical="center" wrapText="1"/>
    </xf>
    <xf numFmtId="44" fontId="0" fillId="3" borderId="10" xfId="0" applyNumberFormat="1" applyFill="1" applyBorder="1"/>
    <xf numFmtId="44" fontId="0" fillId="3" borderId="11" xfId="0" applyNumberFormat="1" applyFill="1" applyBorder="1"/>
    <xf numFmtId="0" fontId="0" fillId="2" borderId="1" xfId="0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44" fontId="0" fillId="3" borderId="1" xfId="1" applyFont="1" applyFill="1" applyBorder="1"/>
    <xf numFmtId="165" fontId="0" fillId="3" borderId="1" xfId="1" applyNumberFormat="1" applyFont="1" applyFill="1" applyBorder="1"/>
    <xf numFmtId="165" fontId="0" fillId="3" borderId="1" xfId="0" applyNumberFormat="1" applyFill="1" applyBorder="1"/>
    <xf numFmtId="0" fontId="11" fillId="3" borderId="1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44" fontId="0" fillId="3" borderId="1" xfId="0" applyNumberFormat="1" applyFill="1" applyBorder="1"/>
    <xf numFmtId="44" fontId="0" fillId="4" borderId="1" xfId="1" applyFont="1" applyFill="1" applyBorder="1"/>
    <xf numFmtId="44" fontId="0" fillId="5" borderId="1" xfId="1" applyFont="1" applyFill="1" applyBorder="1"/>
    <xf numFmtId="0" fontId="2" fillId="0" borderId="1" xfId="0" applyFont="1" applyBorder="1"/>
    <xf numFmtId="44" fontId="0" fillId="2" borderId="1" xfId="0" applyNumberFormat="1" applyFill="1" applyBorder="1"/>
    <xf numFmtId="44" fontId="0" fillId="0" borderId="0" xfId="1" applyFont="1" applyBorder="1" applyAlignment="1">
      <alignment horizontal="center"/>
    </xf>
    <xf numFmtId="44" fontId="0" fillId="2" borderId="0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/>
    <xf numFmtId="44" fontId="0" fillId="0" borderId="2" xfId="1" applyFont="1" applyBorder="1"/>
    <xf numFmtId="44" fontId="0" fillId="0" borderId="0" xfId="1" applyFont="1" applyBorder="1"/>
    <xf numFmtId="0" fontId="0" fillId="2" borderId="0" xfId="0" applyFill="1"/>
    <xf numFmtId="44" fontId="0" fillId="2" borderId="0" xfId="1" applyFont="1" applyFill="1" applyBorder="1"/>
    <xf numFmtId="0" fontId="19" fillId="0" borderId="1" xfId="0" applyFont="1" applyBorder="1" applyAlignment="1">
      <alignment horizontal="center"/>
    </xf>
    <xf numFmtId="164" fontId="19" fillId="0" borderId="1" xfId="1" applyNumberFormat="1" applyFont="1" applyBorder="1" applyAlignment="1">
      <alignment horizontal="center"/>
    </xf>
    <xf numFmtId="0" fontId="19" fillId="0" borderId="1" xfId="0" applyFont="1" applyBorder="1"/>
    <xf numFmtId="164" fontId="19" fillId="0" borderId="1" xfId="1" applyNumberFormat="1" applyFont="1" applyBorder="1"/>
    <xf numFmtId="0" fontId="19" fillId="3" borderId="1" xfId="0" applyFont="1" applyFill="1" applyBorder="1"/>
    <xf numFmtId="0" fontId="19" fillId="3" borderId="1" xfId="0" applyFont="1" applyFill="1" applyBorder="1" applyAlignment="1">
      <alignment horizontal="center"/>
    </xf>
    <xf numFmtId="164" fontId="19" fillId="3" borderId="1" xfId="1" applyNumberFormat="1" applyFont="1" applyFill="1" applyBorder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/>
    </xf>
    <xf numFmtId="44" fontId="19" fillId="0" borderId="1" xfId="1" applyFont="1" applyBorder="1" applyAlignment="1">
      <alignment horizontal="center"/>
    </xf>
    <xf numFmtId="44" fontId="19" fillId="0" borderId="1" xfId="1" applyFont="1" applyBorder="1"/>
    <xf numFmtId="44" fontId="19" fillId="3" borderId="1" xfId="1" applyFont="1" applyFill="1" applyBorder="1"/>
    <xf numFmtId="0" fontId="1" fillId="0" borderId="0" xfId="0" applyFont="1"/>
    <xf numFmtId="0" fontId="19" fillId="0" borderId="0" xfId="0" applyFont="1"/>
    <xf numFmtId="164" fontId="19" fillId="0" borderId="0" xfId="0" applyNumberFormat="1" applyFont="1"/>
    <xf numFmtId="44" fontId="19" fillId="0" borderId="0" xfId="0" applyNumberFormat="1" applyFont="1"/>
    <xf numFmtId="164" fontId="19" fillId="0" borderId="1" xfId="0" applyNumberFormat="1" applyFont="1" applyBorder="1" applyAlignment="1">
      <alignment horizontal="center" vertical="center"/>
    </xf>
    <xf numFmtId="44" fontId="19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164" fontId="19" fillId="0" borderId="1" xfId="0" applyNumberFormat="1" applyFont="1" applyBorder="1"/>
    <xf numFmtId="44" fontId="19" fillId="0" borderId="1" xfId="0" applyNumberFormat="1" applyFont="1" applyBorder="1"/>
    <xf numFmtId="0" fontId="19" fillId="0" borderId="0" xfId="0" applyFont="1" applyAlignment="1">
      <alignment horizontal="center"/>
    </xf>
    <xf numFmtId="44" fontId="5" fillId="2" borderId="1" xfId="1" applyFont="1" applyFill="1" applyBorder="1"/>
    <xf numFmtId="44" fontId="5" fillId="2" borderId="1" xfId="0" applyNumberFormat="1" applyFont="1" applyFill="1" applyBorder="1"/>
    <xf numFmtId="0" fontId="0" fillId="2" borderId="1" xfId="0" applyFill="1" applyBorder="1"/>
    <xf numFmtId="44" fontId="21" fillId="0" borderId="1" xfId="0" applyNumberFormat="1" applyFont="1" applyBorder="1"/>
    <xf numFmtId="44" fontId="19" fillId="3" borderId="1" xfId="0" applyNumberFormat="1" applyFont="1" applyFill="1" applyBorder="1"/>
    <xf numFmtId="0" fontId="22" fillId="3" borderId="1" xfId="0" applyFont="1" applyFill="1" applyBorder="1"/>
    <xf numFmtId="44" fontId="23" fillId="3" borderId="1" xfId="0" applyNumberFormat="1" applyFont="1" applyFill="1" applyBorder="1"/>
    <xf numFmtId="44" fontId="24" fillId="3" borderId="1" xfId="0" applyNumberFormat="1" applyFont="1" applyFill="1" applyBorder="1"/>
    <xf numFmtId="0" fontId="25" fillId="0" borderId="1" xfId="0" applyFont="1" applyBorder="1"/>
    <xf numFmtId="0" fontId="26" fillId="0" borderId="1" xfId="0" applyFont="1" applyBorder="1"/>
    <xf numFmtId="44" fontId="19" fillId="2" borderId="1" xfId="0" applyNumberFormat="1" applyFont="1" applyFill="1" applyBorder="1"/>
    <xf numFmtId="0" fontId="8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44" fontId="19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70C5F0"/>
      <color rgb="FF10F0DB"/>
      <color rgb="FFFF0066"/>
      <color rgb="FFBB12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8"/>
  <sheetViews>
    <sheetView tabSelected="1" zoomScale="51" zoomScaleNormal="66" workbookViewId="0">
      <selection activeCell="F17" sqref="F17"/>
    </sheetView>
  </sheetViews>
  <sheetFormatPr defaultColWidth="9" defaultRowHeight="14.5"/>
  <cols>
    <col min="1" max="1" width="10.08984375" customWidth="1"/>
    <col min="2" max="2" width="36.08984375" customWidth="1"/>
    <col min="3" max="3" width="18.453125" customWidth="1"/>
    <col min="4" max="4" width="19.08984375" customWidth="1"/>
    <col min="6" max="6" width="17" bestFit="1" customWidth="1"/>
    <col min="8" max="8" width="18"/>
  </cols>
  <sheetData>
    <row r="2" spans="1:8" ht="14.5" customHeight="1">
      <c r="A2" s="144" t="s">
        <v>0</v>
      </c>
      <c r="B2" s="144"/>
      <c r="C2" s="144"/>
      <c r="D2" s="144"/>
    </row>
    <row r="3" spans="1:8" ht="14.5" customHeight="1">
      <c r="A3" s="144"/>
      <c r="B3" s="144"/>
      <c r="C3" s="144"/>
      <c r="D3" s="144"/>
    </row>
    <row r="5" spans="1:8" ht="20.149999999999999" customHeight="1">
      <c r="A5" s="86" t="s">
        <v>1</v>
      </c>
      <c r="B5" s="86" t="s">
        <v>2</v>
      </c>
      <c r="C5" s="86" t="s">
        <v>3</v>
      </c>
      <c r="D5" s="87" t="s">
        <v>4</v>
      </c>
    </row>
    <row r="6" spans="1:8" ht="20.149999999999999" customHeight="1">
      <c r="A6" s="76" t="s">
        <v>5</v>
      </c>
      <c r="B6" s="77" t="s">
        <v>6</v>
      </c>
      <c r="C6" s="18">
        <v>90839200</v>
      </c>
      <c r="D6" s="19"/>
    </row>
    <row r="7" spans="1:8" ht="20.149999999999999" customHeight="1">
      <c r="A7" s="16" t="s">
        <v>7</v>
      </c>
      <c r="B7" s="17" t="s">
        <v>8</v>
      </c>
      <c r="C7" s="20">
        <v>3500000</v>
      </c>
      <c r="D7" s="19"/>
    </row>
    <row r="8" spans="1:8" ht="20.149999999999999" customHeight="1">
      <c r="A8" s="16" t="s">
        <v>9</v>
      </c>
      <c r="B8" s="59" t="s">
        <v>10</v>
      </c>
      <c r="C8" s="21">
        <v>17760000</v>
      </c>
      <c r="D8" s="22"/>
    </row>
    <row r="9" spans="1:8" ht="20.149999999999999" customHeight="1">
      <c r="A9" s="16" t="s">
        <v>11</v>
      </c>
      <c r="B9" s="59" t="s">
        <v>12</v>
      </c>
      <c r="C9" s="23"/>
      <c r="D9" s="24">
        <v>2500000</v>
      </c>
    </row>
    <row r="10" spans="1:8" ht="20.149999999999999" customHeight="1">
      <c r="A10" s="16" t="s">
        <v>13</v>
      </c>
      <c r="B10" s="59" t="s">
        <v>14</v>
      </c>
      <c r="C10" s="25">
        <v>7283500</v>
      </c>
      <c r="D10" s="22"/>
    </row>
    <row r="11" spans="1:8" ht="20.149999999999999" customHeight="1">
      <c r="A11" s="16" t="s">
        <v>15</v>
      </c>
      <c r="B11" s="59" t="s">
        <v>16</v>
      </c>
      <c r="C11" s="26">
        <v>3720000</v>
      </c>
      <c r="D11" s="22"/>
    </row>
    <row r="12" spans="1:8" ht="20.149999999999999" customHeight="1">
      <c r="A12" s="16" t="s">
        <v>17</v>
      </c>
      <c r="B12" s="59" t="s">
        <v>18</v>
      </c>
      <c r="C12" s="27">
        <v>1230000</v>
      </c>
      <c r="D12" s="22"/>
    </row>
    <row r="13" spans="1:8" ht="20.149999999999999" customHeight="1">
      <c r="A13" s="78" t="s">
        <v>19</v>
      </c>
      <c r="B13" s="79" t="s">
        <v>20</v>
      </c>
      <c r="C13" s="27">
        <v>7245000</v>
      </c>
      <c r="D13" s="16"/>
    </row>
    <row r="14" spans="1:8" ht="20.149999999999999" customHeight="1">
      <c r="A14" s="62" t="s">
        <v>21</v>
      </c>
      <c r="B14" s="59" t="s">
        <v>22</v>
      </c>
      <c r="C14" s="27"/>
      <c r="D14" s="22">
        <v>3421250</v>
      </c>
    </row>
    <row r="15" spans="1:8" ht="20.149999999999999" customHeight="1">
      <c r="A15" s="76" t="s">
        <v>23</v>
      </c>
      <c r="B15" s="79" t="s">
        <v>24</v>
      </c>
      <c r="C15" s="27"/>
      <c r="D15" s="22">
        <v>12543000</v>
      </c>
      <c r="H15" s="72"/>
    </row>
    <row r="16" spans="1:8" ht="20.149999999999999" customHeight="1">
      <c r="A16" s="16" t="s">
        <v>25</v>
      </c>
      <c r="B16" s="59" t="s">
        <v>26</v>
      </c>
      <c r="C16" s="27"/>
      <c r="D16" s="28">
        <v>4405000</v>
      </c>
    </row>
    <row r="17" spans="1:8" ht="20.149999999999999" customHeight="1">
      <c r="A17" s="16" t="s">
        <v>27</v>
      </c>
      <c r="B17" s="59" t="s">
        <v>28</v>
      </c>
      <c r="C17" s="27"/>
      <c r="D17" s="28"/>
    </row>
    <row r="18" spans="1:8" ht="20.149999999999999" customHeight="1">
      <c r="A18" s="16" t="s">
        <v>29</v>
      </c>
      <c r="B18" s="59" t="s">
        <v>30</v>
      </c>
      <c r="C18" s="27"/>
      <c r="D18" s="22">
        <v>1243000</v>
      </c>
    </row>
    <row r="19" spans="1:8" ht="20.149999999999999" customHeight="1" thickBot="1">
      <c r="A19" s="16" t="s">
        <v>31</v>
      </c>
      <c r="B19" s="59" t="s">
        <v>32</v>
      </c>
      <c r="C19" s="27">
        <v>1254000</v>
      </c>
      <c r="D19" s="22"/>
    </row>
    <row r="20" spans="1:8" ht="20.149999999999999" customHeight="1" thickBot="1">
      <c r="A20" s="76" t="s">
        <v>33</v>
      </c>
      <c r="B20" s="80" t="s">
        <v>34</v>
      </c>
      <c r="C20" s="27"/>
      <c r="D20" s="22">
        <v>101298000</v>
      </c>
      <c r="F20" s="1"/>
      <c r="H20" s="22"/>
    </row>
    <row r="21" spans="1:8" ht="20.149999999999999" customHeight="1" thickBot="1">
      <c r="A21" s="16" t="s">
        <v>35</v>
      </c>
      <c r="B21" s="60" t="s">
        <v>36</v>
      </c>
      <c r="C21" s="27">
        <v>150000</v>
      </c>
      <c r="D21" s="22"/>
      <c r="H21" s="1"/>
    </row>
    <row r="22" spans="1:8" ht="20.149999999999999" customHeight="1">
      <c r="A22" s="16" t="s">
        <v>37</v>
      </c>
      <c r="B22" s="59" t="s">
        <v>38</v>
      </c>
      <c r="C22" s="27"/>
      <c r="D22" s="22"/>
    </row>
    <row r="23" spans="1:8" ht="20.149999999999999" customHeight="1">
      <c r="A23" s="76" t="s">
        <v>39</v>
      </c>
      <c r="B23" s="79" t="s">
        <v>40</v>
      </c>
      <c r="C23" s="27"/>
      <c r="D23" s="22">
        <v>7571450</v>
      </c>
      <c r="F23" s="1"/>
    </row>
    <row r="24" spans="1:8" ht="20.149999999999999" customHeight="1">
      <c r="A24" s="16" t="s">
        <v>41</v>
      </c>
      <c r="B24" s="59" t="s">
        <v>42</v>
      </c>
      <c r="C24" s="27" t="s">
        <v>43</v>
      </c>
      <c r="D24" s="22"/>
    </row>
    <row r="25" spans="1:8" ht="20.149999999999999" customHeight="1">
      <c r="A25" s="16" t="s">
        <v>44</v>
      </c>
      <c r="B25" s="59" t="s">
        <v>45</v>
      </c>
      <c r="C25" s="27"/>
      <c r="D25" s="22"/>
      <c r="H25" s="1"/>
    </row>
    <row r="26" spans="1:8" ht="20.149999999999999" customHeight="1">
      <c r="A26" s="76" t="s">
        <v>46</v>
      </c>
      <c r="B26" s="79" t="s">
        <v>47</v>
      </c>
      <c r="C26" s="63" t="s">
        <v>43</v>
      </c>
      <c r="D26" s="22"/>
    </row>
    <row r="27" spans="1:8" ht="20.149999999999999" customHeight="1">
      <c r="A27" s="16" t="s">
        <v>48</v>
      </c>
      <c r="B27" s="59" t="s">
        <v>49</v>
      </c>
      <c r="C27" s="63" t="s">
        <v>43</v>
      </c>
      <c r="D27" s="22"/>
      <c r="F27" s="1"/>
      <c r="H27" s="1"/>
    </row>
    <row r="28" spans="1:8" ht="20.149999999999999" customHeight="1">
      <c r="A28" s="76" t="s">
        <v>50</v>
      </c>
      <c r="B28" s="79" t="s">
        <v>241</v>
      </c>
      <c r="C28" s="27"/>
      <c r="D28" s="22"/>
    </row>
    <row r="29" spans="1:8" ht="20.149999999999999" customHeight="1">
      <c r="A29" s="16" t="s">
        <v>51</v>
      </c>
      <c r="B29" s="59" t="s">
        <v>52</v>
      </c>
      <c r="C29" s="27"/>
      <c r="D29" s="22"/>
    </row>
    <row r="30" spans="1:8" ht="20.149999999999999" customHeight="1">
      <c r="A30" s="16" t="s">
        <v>53</v>
      </c>
      <c r="B30" s="59" t="s">
        <v>54</v>
      </c>
      <c r="C30" s="63" t="s">
        <v>43</v>
      </c>
      <c r="D30" s="22"/>
    </row>
    <row r="31" spans="1:8" ht="20.149999999999999" customHeight="1">
      <c r="A31" s="16" t="s">
        <v>55</v>
      </c>
      <c r="B31" s="59" t="s">
        <v>56</v>
      </c>
      <c r="C31" s="63" t="s">
        <v>43</v>
      </c>
      <c r="D31" s="22"/>
    </row>
    <row r="32" spans="1:8" ht="20.149999999999999" customHeight="1">
      <c r="A32" s="16" t="s">
        <v>57</v>
      </c>
      <c r="B32" s="59" t="s">
        <v>58</v>
      </c>
      <c r="C32" s="63" t="s">
        <v>43</v>
      </c>
      <c r="D32" s="22"/>
    </row>
    <row r="33" spans="1:6" ht="20.149999999999999" customHeight="1">
      <c r="A33" s="16" t="s">
        <v>59</v>
      </c>
      <c r="B33" s="59" t="s">
        <v>60</v>
      </c>
      <c r="C33" s="27"/>
      <c r="D33" s="22"/>
    </row>
    <row r="34" spans="1:6" ht="20.149999999999999" customHeight="1" thickBot="1">
      <c r="A34" s="16" t="s">
        <v>61</v>
      </c>
      <c r="B34" s="59" t="s">
        <v>62</v>
      </c>
      <c r="C34" s="27"/>
      <c r="D34" s="22"/>
    </row>
    <row r="35" spans="1:6" ht="20.149999999999999" customHeight="1" thickBot="1">
      <c r="A35" s="81"/>
      <c r="B35" s="82"/>
      <c r="C35" s="83">
        <f>SUM(C6:C34)</f>
        <v>132981700</v>
      </c>
      <c r="D35" s="84">
        <f>SUM(D9:D23)</f>
        <v>132981700</v>
      </c>
      <c r="F35" s="1"/>
    </row>
    <row r="36" spans="1:6" ht="20.149999999999999" customHeight="1">
      <c r="F36" s="1"/>
    </row>
    <row r="37" spans="1:6" ht="20.149999999999999" customHeight="1"/>
    <row r="38" spans="1:6" ht="20.149999999999999" customHeight="1"/>
    <row r="39" spans="1:6" ht="20.149999999999999" customHeight="1"/>
    <row r="40" spans="1:6" ht="20.149999999999999" customHeight="1"/>
    <row r="41" spans="1:6" ht="20.149999999999999" customHeight="1"/>
    <row r="42" spans="1:6" ht="20.149999999999999" customHeight="1"/>
    <row r="43" spans="1:6" ht="20.149999999999999" customHeight="1"/>
    <row r="44" spans="1:6" ht="20.149999999999999" customHeight="1"/>
    <row r="45" spans="1:6" ht="20.149999999999999" customHeight="1"/>
    <row r="48" spans="1:6">
      <c r="D48" s="1"/>
    </row>
  </sheetData>
  <mergeCells count="1">
    <mergeCell ref="A2:D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topLeftCell="C1" zoomScale="75" zoomScaleNormal="54" workbookViewId="0">
      <selection activeCell="A5" sqref="A5:J23"/>
    </sheetView>
  </sheetViews>
  <sheetFormatPr defaultColWidth="9" defaultRowHeight="14.5"/>
  <cols>
    <col min="2" max="2" width="10" customWidth="1"/>
    <col min="3" max="3" width="20.81640625" customWidth="1"/>
    <col min="5" max="5" width="21.26953125" style="35" customWidth="1"/>
    <col min="6" max="6" width="11.7265625" customWidth="1"/>
    <col min="7" max="7" width="18.453125" style="35" customWidth="1"/>
    <col min="8" max="8" width="26" style="35" customWidth="1"/>
    <col min="9" max="9" width="11.54296875" customWidth="1"/>
    <col min="10" max="10" width="15.453125" style="35" customWidth="1"/>
    <col min="12" max="12" width="16" customWidth="1"/>
    <col min="13" max="13" width="18.54296875" customWidth="1"/>
    <col min="14" max="14" width="16.453125" customWidth="1"/>
    <col min="15" max="15" width="16.81640625" customWidth="1"/>
    <col min="17" max="17" width="9.08984375" customWidth="1"/>
  </cols>
  <sheetData>
    <row r="1" spans="1:17">
      <c r="A1" s="150"/>
      <c r="B1" s="150"/>
      <c r="C1" s="150"/>
      <c r="D1" s="150"/>
      <c r="E1" s="150"/>
      <c r="F1" s="150"/>
      <c r="G1" s="150"/>
      <c r="H1" s="150"/>
      <c r="I1" s="150"/>
      <c r="J1" s="150"/>
    </row>
    <row r="2" spans="1:17">
      <c r="A2" s="150" t="s">
        <v>63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17">
      <c r="A3" s="150"/>
      <c r="B3" s="150"/>
      <c r="C3" s="150"/>
      <c r="D3" s="150"/>
      <c r="E3" s="150"/>
      <c r="F3" s="150"/>
      <c r="G3" s="150"/>
      <c r="H3" s="150"/>
      <c r="I3" s="150"/>
      <c r="J3" s="150"/>
    </row>
    <row r="5" spans="1:17">
      <c r="A5" s="145" t="s">
        <v>64</v>
      </c>
      <c r="B5" s="145" t="s">
        <v>65</v>
      </c>
      <c r="C5" s="152" t="s">
        <v>66</v>
      </c>
      <c r="D5" s="152" t="s">
        <v>67</v>
      </c>
      <c r="E5" s="146" t="s">
        <v>68</v>
      </c>
      <c r="F5" s="151"/>
      <c r="G5" s="147"/>
      <c r="H5" s="146" t="s">
        <v>69</v>
      </c>
      <c r="I5" s="151"/>
      <c r="J5" s="147"/>
      <c r="L5" s="145" t="s">
        <v>70</v>
      </c>
      <c r="M5" s="145"/>
      <c r="N5" s="145"/>
      <c r="O5" s="145"/>
      <c r="P5" s="3"/>
      <c r="Q5" s="3"/>
    </row>
    <row r="6" spans="1:17">
      <c r="A6" s="145"/>
      <c r="B6" s="145"/>
      <c r="C6" s="153"/>
      <c r="D6" s="153"/>
      <c r="E6" s="148" t="s">
        <v>71</v>
      </c>
      <c r="F6" s="146" t="s">
        <v>72</v>
      </c>
      <c r="G6" s="147"/>
      <c r="H6" s="148" t="s">
        <v>73</v>
      </c>
      <c r="I6" s="146" t="s">
        <v>72</v>
      </c>
      <c r="J6" s="147"/>
      <c r="L6" s="145" t="s">
        <v>68</v>
      </c>
      <c r="M6" s="145"/>
      <c r="N6" s="145" t="s">
        <v>69</v>
      </c>
      <c r="O6" s="145"/>
    </row>
    <row r="7" spans="1:17">
      <c r="A7" s="145"/>
      <c r="B7" s="145"/>
      <c r="C7" s="154"/>
      <c r="D7" s="154"/>
      <c r="E7" s="149"/>
      <c r="F7" s="9" t="s">
        <v>1</v>
      </c>
      <c r="G7" s="36" t="s">
        <v>74</v>
      </c>
      <c r="H7" s="149"/>
      <c r="I7" s="9" t="s">
        <v>75</v>
      </c>
      <c r="J7" s="36" t="s">
        <v>74</v>
      </c>
      <c r="L7" s="4" t="s">
        <v>75</v>
      </c>
      <c r="M7" s="4" t="s">
        <v>74</v>
      </c>
      <c r="N7" s="4" t="s">
        <v>75</v>
      </c>
      <c r="O7" s="4" t="s">
        <v>74</v>
      </c>
    </row>
    <row r="8" spans="1:17">
      <c r="A8" s="4" t="s">
        <v>76</v>
      </c>
      <c r="B8" s="4"/>
      <c r="C8" s="4"/>
      <c r="D8" s="4"/>
      <c r="E8" s="42"/>
      <c r="F8" s="4"/>
      <c r="G8" s="42"/>
      <c r="H8" s="42"/>
      <c r="I8" s="4"/>
      <c r="J8" s="42"/>
      <c r="L8" s="12" t="s">
        <v>249</v>
      </c>
      <c r="M8" s="29">
        <f>SUM(E9:E20)</f>
        <v>39972325</v>
      </c>
      <c r="N8" s="12" t="s">
        <v>251</v>
      </c>
      <c r="O8" s="29">
        <f>SUM(H12:H19)</f>
        <v>24546100</v>
      </c>
    </row>
    <row r="9" spans="1:17">
      <c r="A9" s="4">
        <v>3</v>
      </c>
      <c r="B9" s="4" t="s">
        <v>77</v>
      </c>
      <c r="C9" s="4" t="s">
        <v>78</v>
      </c>
      <c r="D9" s="4"/>
      <c r="E9" s="42">
        <f>SUM(J9:J10)</f>
        <v>5422350</v>
      </c>
      <c r="F9" s="4"/>
      <c r="G9" s="42"/>
      <c r="H9" s="42"/>
      <c r="I9" s="4" t="str">
        <f>'TB AWAL'!A23</f>
        <v>4-1100</v>
      </c>
      <c r="J9" s="42">
        <v>4885000</v>
      </c>
      <c r="L9" s="12" t="s">
        <v>250</v>
      </c>
      <c r="M9" s="29">
        <f>SUM(G11:G22)</f>
        <v>11772500</v>
      </c>
      <c r="N9" s="12" t="s">
        <v>252</v>
      </c>
      <c r="O9" s="29">
        <f>SUM(J11+J16+J22)</f>
        <v>11772500</v>
      </c>
    </row>
    <row r="10" spans="1:17">
      <c r="A10" s="4"/>
      <c r="B10" s="4"/>
      <c r="C10" s="4"/>
      <c r="D10" s="4"/>
      <c r="E10" s="42"/>
      <c r="F10" s="4"/>
      <c r="G10" s="42"/>
      <c r="H10" s="42"/>
      <c r="I10" s="4" t="s">
        <v>29</v>
      </c>
      <c r="J10" s="42">
        <v>537350</v>
      </c>
      <c r="L10" s="4"/>
      <c r="M10" s="29"/>
      <c r="N10" s="12" t="s">
        <v>253</v>
      </c>
      <c r="O10" s="29">
        <f>SUM(J10+J15+J21)</f>
        <v>1528725</v>
      </c>
    </row>
    <row r="11" spans="1:17">
      <c r="A11" s="4"/>
      <c r="B11" s="4"/>
      <c r="C11" s="4"/>
      <c r="D11" s="4"/>
      <c r="E11" s="42"/>
      <c r="F11" s="4" t="s">
        <v>46</v>
      </c>
      <c r="G11" s="42">
        <f>'IC (1)'!H10+'IC (1)'!H32+'IC(2)'!H30</f>
        <v>3650000</v>
      </c>
      <c r="H11" s="42"/>
      <c r="I11" s="4" t="s">
        <v>13</v>
      </c>
      <c r="J11" s="42">
        <f>'IC (1)'!H10+'IC (1)'!H32+'IC(2)'!H30</f>
        <v>3650000</v>
      </c>
      <c r="L11" s="4"/>
      <c r="M11" s="29"/>
      <c r="N11" s="12" t="s">
        <v>254</v>
      </c>
      <c r="O11" s="29">
        <f>SUM(J9+J14+J20)</f>
        <v>13897500</v>
      </c>
    </row>
    <row r="12" spans="1:17">
      <c r="A12" s="4">
        <v>9</v>
      </c>
      <c r="B12" s="4" t="s">
        <v>79</v>
      </c>
      <c r="C12" s="4" t="s">
        <v>80</v>
      </c>
      <c r="D12" s="4"/>
      <c r="E12" s="42">
        <v>5772000</v>
      </c>
      <c r="F12" s="4"/>
      <c r="G12" s="42"/>
      <c r="H12" s="42">
        <v>5772000</v>
      </c>
      <c r="I12" s="58"/>
      <c r="J12" s="42"/>
      <c r="L12" s="89"/>
      <c r="M12" s="91">
        <f>SUM(M8+M9)</f>
        <v>51744825</v>
      </c>
      <c r="N12" s="89"/>
      <c r="O12" s="91">
        <f>SUM(O8+O9+O10+O11)</f>
        <v>51744825</v>
      </c>
    </row>
    <row r="13" spans="1:17">
      <c r="A13" s="4">
        <v>14</v>
      </c>
      <c r="B13" s="4" t="s">
        <v>81</v>
      </c>
      <c r="C13" s="4" t="s">
        <v>82</v>
      </c>
      <c r="D13" s="4"/>
      <c r="E13" s="42">
        <v>2775000</v>
      </c>
      <c r="F13" s="4"/>
      <c r="G13" s="42"/>
      <c r="H13" s="42">
        <v>2775000</v>
      </c>
      <c r="I13" s="4"/>
      <c r="J13" s="42"/>
      <c r="L13" s="7"/>
      <c r="M13" s="103"/>
      <c r="N13" s="7"/>
      <c r="O13" s="103"/>
    </row>
    <row r="14" spans="1:17">
      <c r="A14" s="4">
        <v>15</v>
      </c>
      <c r="B14" s="4" t="s">
        <v>83</v>
      </c>
      <c r="C14" s="4" t="s">
        <v>84</v>
      </c>
      <c r="D14" s="4"/>
      <c r="E14" s="42">
        <f>SUM(J14:J15)</f>
        <v>6102225</v>
      </c>
      <c r="F14" s="4"/>
      <c r="G14" s="42"/>
      <c r="H14" s="42"/>
      <c r="I14" s="4" t="s">
        <v>39</v>
      </c>
      <c r="J14" s="42">
        <v>5497500</v>
      </c>
      <c r="L14" s="7"/>
      <c r="M14" s="103"/>
      <c r="N14" s="7"/>
      <c r="O14" s="103"/>
    </row>
    <row r="15" spans="1:17">
      <c r="A15" s="4"/>
      <c r="B15" s="4"/>
      <c r="C15" s="4"/>
      <c r="D15" s="4"/>
      <c r="E15" s="42"/>
      <c r="F15" s="4"/>
      <c r="G15" s="42"/>
      <c r="H15" s="42"/>
      <c r="I15" s="4" t="s">
        <v>29</v>
      </c>
      <c r="J15" s="42">
        <v>604725</v>
      </c>
      <c r="L15" s="7"/>
      <c r="M15" s="103"/>
      <c r="N15" s="7"/>
      <c r="O15" s="103"/>
    </row>
    <row r="16" spans="1:17">
      <c r="A16" s="4"/>
      <c r="B16" s="4"/>
      <c r="C16" s="4"/>
      <c r="D16" s="4"/>
      <c r="E16" s="42"/>
      <c r="F16" s="4" t="s">
        <v>46</v>
      </c>
      <c r="G16" s="42">
        <f>'IC (1)'!H13+'IC (1)'!H35+'IC(2)'!H14+'IC(2)'!H32</f>
        <v>4857500</v>
      </c>
      <c r="H16" s="42"/>
      <c r="I16" s="4" t="s">
        <v>13</v>
      </c>
      <c r="J16" s="42">
        <f>'IC (1)'!H13+'IC (1)'!H35+'IC(2)'!H14+'IC(2)'!H32</f>
        <v>4857500</v>
      </c>
      <c r="L16" s="7"/>
      <c r="M16" s="103"/>
      <c r="N16" s="7"/>
      <c r="O16" s="103"/>
    </row>
    <row r="17" spans="1:15">
      <c r="A17" s="4">
        <v>18</v>
      </c>
      <c r="B17" s="4" t="s">
        <v>85</v>
      </c>
      <c r="C17" s="4" t="s">
        <v>78</v>
      </c>
      <c r="D17" s="4"/>
      <c r="E17" s="42">
        <v>5106000</v>
      </c>
      <c r="F17" s="4"/>
      <c r="G17" s="42"/>
      <c r="H17" s="42">
        <v>5106000</v>
      </c>
      <c r="I17" s="4"/>
      <c r="J17" s="42"/>
      <c r="L17" s="7"/>
      <c r="M17" s="103"/>
      <c r="N17" s="7"/>
      <c r="O17" s="103"/>
    </row>
    <row r="18" spans="1:15">
      <c r="A18" s="4">
        <v>26</v>
      </c>
      <c r="B18" s="4" t="s">
        <v>86</v>
      </c>
      <c r="C18" s="4" t="s">
        <v>84</v>
      </c>
      <c r="D18" s="4"/>
      <c r="E18" s="42">
        <v>4107000</v>
      </c>
      <c r="F18" s="4"/>
      <c r="G18" s="42"/>
      <c r="H18" s="42">
        <v>4107000</v>
      </c>
      <c r="I18" s="4"/>
      <c r="J18" s="42"/>
      <c r="L18" s="7"/>
      <c r="M18" s="103"/>
      <c r="N18" s="7"/>
      <c r="O18" s="103"/>
    </row>
    <row r="19" spans="1:15">
      <c r="A19" s="4">
        <v>28</v>
      </c>
      <c r="B19" s="4" t="s">
        <v>87</v>
      </c>
      <c r="C19" s="4" t="s">
        <v>82</v>
      </c>
      <c r="D19" s="4"/>
      <c r="E19" s="42">
        <v>6786100</v>
      </c>
      <c r="F19" s="4"/>
      <c r="G19" s="42"/>
      <c r="H19" s="42">
        <v>6786100</v>
      </c>
      <c r="I19" s="4"/>
      <c r="J19" s="42"/>
      <c r="L19" s="7"/>
      <c r="M19" s="103"/>
      <c r="N19" s="7"/>
      <c r="O19" s="103"/>
    </row>
    <row r="20" spans="1:15">
      <c r="A20" s="4">
        <v>29</v>
      </c>
      <c r="B20" s="4" t="s">
        <v>88</v>
      </c>
      <c r="C20" s="4" t="s">
        <v>80</v>
      </c>
      <c r="D20" s="4"/>
      <c r="E20" s="42">
        <f>J20+J21</f>
        <v>3901650</v>
      </c>
      <c r="F20" s="4"/>
      <c r="G20" s="42"/>
      <c r="H20" s="42"/>
      <c r="I20" s="4" t="str">
        <f>'TB AWAL'!A23</f>
        <v>4-1100</v>
      </c>
      <c r="J20" s="42">
        <v>3515000</v>
      </c>
      <c r="L20" s="7"/>
      <c r="M20" s="103"/>
      <c r="N20" s="7"/>
      <c r="O20" s="103"/>
    </row>
    <row r="21" spans="1:15">
      <c r="A21" s="4"/>
      <c r="B21" s="4"/>
      <c r="C21" s="4"/>
      <c r="D21" s="4"/>
      <c r="E21" s="42"/>
      <c r="F21" s="4"/>
      <c r="G21" s="42"/>
      <c r="H21" s="42"/>
      <c r="I21" s="4" t="s">
        <v>29</v>
      </c>
      <c r="J21" s="42">
        <v>386650</v>
      </c>
      <c r="L21" s="7"/>
      <c r="M21" s="103"/>
      <c r="N21" s="7"/>
      <c r="O21" s="105"/>
    </row>
    <row r="22" spans="1:15">
      <c r="A22" s="4"/>
      <c r="B22" s="4"/>
      <c r="C22" s="4"/>
      <c r="D22" s="4"/>
      <c r="E22" s="42" t="s">
        <v>267</v>
      </c>
      <c r="F22" s="4" t="s">
        <v>46</v>
      </c>
      <c r="G22" s="42">
        <f>'IC (1)'!H37+'IC(2)'!H35</f>
        <v>3265000</v>
      </c>
      <c r="H22" s="42" t="s">
        <v>268</v>
      </c>
      <c r="I22" s="4" t="s">
        <v>13</v>
      </c>
      <c r="J22" s="42">
        <f>'IC (1)'!H37+'IC(2)'!H35</f>
        <v>3265000</v>
      </c>
      <c r="M22" s="104"/>
      <c r="N22" s="105"/>
      <c r="O22" s="104"/>
    </row>
    <row r="23" spans="1:15">
      <c r="A23" s="88"/>
      <c r="B23" s="88"/>
      <c r="C23" s="89"/>
      <c r="D23" s="89"/>
      <c r="E23" s="90">
        <f>SUM(E9:E20)</f>
        <v>39972325</v>
      </c>
      <c r="F23" s="89"/>
      <c r="G23" s="90">
        <f>SUM(G11:G22)</f>
        <v>11772500</v>
      </c>
      <c r="H23" s="90">
        <f>SUM(H12:H19)</f>
        <v>24546100</v>
      </c>
      <c r="I23" s="89"/>
      <c r="J23" s="90">
        <f>SUM(J9:J22)</f>
        <v>27198725</v>
      </c>
    </row>
  </sheetData>
  <mergeCells count="16">
    <mergeCell ref="A1:J1"/>
    <mergeCell ref="A2:J2"/>
    <mergeCell ref="A3:J3"/>
    <mergeCell ref="E5:G5"/>
    <mergeCell ref="H5:J5"/>
    <mergeCell ref="A5:A7"/>
    <mergeCell ref="B5:B7"/>
    <mergeCell ref="C5:C7"/>
    <mergeCell ref="D5:D7"/>
    <mergeCell ref="E6:E7"/>
    <mergeCell ref="L5:O5"/>
    <mergeCell ref="F6:G6"/>
    <mergeCell ref="I6:J6"/>
    <mergeCell ref="L6:M6"/>
    <mergeCell ref="N6:O6"/>
    <mergeCell ref="H6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zoomScale="68" zoomScaleNormal="88" workbookViewId="0">
      <selection activeCell="L5" sqref="L5:O13"/>
    </sheetView>
  </sheetViews>
  <sheetFormatPr defaultColWidth="9" defaultRowHeight="14.5"/>
  <cols>
    <col min="3" max="3" width="19.54296875" customWidth="1"/>
    <col min="5" max="5" width="21.26953125" style="35" customWidth="1"/>
    <col min="6" max="6" width="11.7265625" customWidth="1"/>
    <col min="7" max="7" width="18.453125" style="45" customWidth="1"/>
    <col min="8" max="8" width="26" style="35" customWidth="1"/>
    <col min="9" max="9" width="11.54296875" customWidth="1"/>
    <col min="10" max="10" width="13.453125" customWidth="1"/>
    <col min="12" max="12" width="16" customWidth="1"/>
    <col min="13" max="13" width="18.54296875" customWidth="1"/>
    <col min="14" max="14" width="16.453125" customWidth="1"/>
    <col min="15" max="15" width="15.7265625" customWidth="1"/>
    <col min="17" max="17" width="9.08984375" customWidth="1"/>
  </cols>
  <sheetData>
    <row r="1" spans="1:17">
      <c r="A1" s="150"/>
      <c r="B1" s="150"/>
      <c r="C1" s="150"/>
      <c r="D1" s="150"/>
      <c r="E1" s="150"/>
      <c r="F1" s="150"/>
      <c r="G1" s="150"/>
      <c r="H1" s="150"/>
      <c r="I1" s="150"/>
      <c r="J1" s="150"/>
    </row>
    <row r="2" spans="1:17">
      <c r="A2" s="150" t="s">
        <v>89</v>
      </c>
      <c r="B2" s="150"/>
      <c r="C2" s="150"/>
      <c r="D2" s="150"/>
      <c r="E2" s="150"/>
      <c r="F2" s="150"/>
      <c r="G2" s="150"/>
      <c r="H2" s="150"/>
      <c r="I2" s="150"/>
      <c r="J2" s="150"/>
    </row>
    <row r="3" spans="1:17">
      <c r="A3" s="150"/>
      <c r="B3" s="150"/>
      <c r="C3" s="150"/>
      <c r="D3" s="150"/>
      <c r="E3" s="150"/>
      <c r="F3" s="150"/>
      <c r="G3" s="150"/>
      <c r="H3" s="150"/>
      <c r="I3" s="150"/>
      <c r="J3" s="150"/>
    </row>
    <row r="5" spans="1:17">
      <c r="A5" s="145" t="s">
        <v>64</v>
      </c>
      <c r="B5" s="145" t="s">
        <v>65</v>
      </c>
      <c r="C5" s="152" t="s">
        <v>66</v>
      </c>
      <c r="D5" s="152" t="s">
        <v>67</v>
      </c>
      <c r="E5" s="146" t="s">
        <v>68</v>
      </c>
      <c r="F5" s="151"/>
      <c r="G5" s="147"/>
      <c r="H5" s="146" t="s">
        <v>69</v>
      </c>
      <c r="I5" s="151"/>
      <c r="J5" s="147"/>
      <c r="L5" s="145" t="s">
        <v>70</v>
      </c>
      <c r="M5" s="145"/>
      <c r="N5" s="145"/>
      <c r="O5" s="145"/>
      <c r="P5" s="3"/>
      <c r="Q5" s="3"/>
    </row>
    <row r="6" spans="1:17">
      <c r="A6" s="145"/>
      <c r="B6" s="145"/>
      <c r="C6" s="153"/>
      <c r="D6" s="153"/>
      <c r="E6" s="148" t="s">
        <v>90</v>
      </c>
      <c r="F6" s="146" t="s">
        <v>72</v>
      </c>
      <c r="G6" s="147"/>
      <c r="H6" s="148" t="s">
        <v>71</v>
      </c>
      <c r="I6" s="146" t="s">
        <v>72</v>
      </c>
      <c r="J6" s="147"/>
      <c r="L6" s="145" t="s">
        <v>68</v>
      </c>
      <c r="M6" s="145"/>
      <c r="N6" s="145" t="s">
        <v>69</v>
      </c>
      <c r="O6" s="145"/>
    </row>
    <row r="7" spans="1:17">
      <c r="A7" s="145"/>
      <c r="B7" s="145"/>
      <c r="C7" s="154"/>
      <c r="D7" s="154"/>
      <c r="E7" s="149"/>
      <c r="F7" s="9" t="s">
        <v>1</v>
      </c>
      <c r="G7" s="52" t="s">
        <v>74</v>
      </c>
      <c r="H7" s="149"/>
      <c r="I7" s="9" t="s">
        <v>75</v>
      </c>
      <c r="J7" s="9" t="s">
        <v>74</v>
      </c>
      <c r="L7" s="4" t="s">
        <v>75</v>
      </c>
      <c r="M7" s="4" t="s">
        <v>74</v>
      </c>
      <c r="N7" s="4" t="s">
        <v>75</v>
      </c>
      <c r="O7" s="4" t="s">
        <v>74</v>
      </c>
    </row>
    <row r="8" spans="1:17">
      <c r="A8" s="4" t="s">
        <v>76</v>
      </c>
      <c r="B8" s="4"/>
      <c r="C8" s="4"/>
      <c r="D8" s="4"/>
      <c r="E8" s="42"/>
      <c r="F8" s="4"/>
      <c r="G8" s="48"/>
      <c r="H8" s="42"/>
      <c r="I8" s="4"/>
      <c r="J8" s="4"/>
      <c r="L8" s="5" t="s">
        <v>255</v>
      </c>
      <c r="M8" s="29">
        <f>E10</f>
        <v>2442000</v>
      </c>
      <c r="N8" s="12" t="s">
        <v>249</v>
      </c>
      <c r="O8" s="29">
        <f>H21</f>
        <v>8224143</v>
      </c>
    </row>
    <row r="9" spans="1:17">
      <c r="A9" s="4">
        <v>2</v>
      </c>
      <c r="B9" s="68" t="s">
        <v>229</v>
      </c>
      <c r="C9" s="4" t="s">
        <v>91</v>
      </c>
      <c r="D9" s="4"/>
      <c r="E9" s="42"/>
      <c r="F9" s="4" t="str">
        <f>'TB AWAL'!A16</f>
        <v>2-1200</v>
      </c>
      <c r="G9" s="48">
        <v>1725000</v>
      </c>
      <c r="H9" s="42">
        <v>1725000</v>
      </c>
      <c r="I9" s="4"/>
      <c r="J9" s="4"/>
      <c r="L9" s="5" t="s">
        <v>256</v>
      </c>
      <c r="M9" s="29">
        <f>G9</f>
        <v>1725000</v>
      </c>
      <c r="N9" s="4"/>
      <c r="O9" s="29"/>
    </row>
    <row r="10" spans="1:17">
      <c r="A10" s="4">
        <v>13</v>
      </c>
      <c r="B10" s="4" t="s">
        <v>92</v>
      </c>
      <c r="C10" s="4" t="s">
        <v>93</v>
      </c>
      <c r="D10" s="4"/>
      <c r="E10" s="42">
        <v>2442000</v>
      </c>
      <c r="F10" s="4"/>
      <c r="G10" s="48"/>
      <c r="H10" s="42">
        <v>2442000</v>
      </c>
      <c r="I10" s="4"/>
      <c r="J10" s="4"/>
      <c r="L10" s="101" t="s">
        <v>257</v>
      </c>
      <c r="M10" s="29">
        <f>G11+G13</f>
        <v>3607143</v>
      </c>
      <c r="N10" s="4"/>
      <c r="O10" s="29"/>
    </row>
    <row r="11" spans="1:17">
      <c r="A11" s="4">
        <v>20</v>
      </c>
      <c r="B11" s="4" t="s">
        <v>94</v>
      </c>
      <c r="C11" s="4" t="s">
        <v>95</v>
      </c>
      <c r="D11" s="4"/>
      <c r="E11" s="42"/>
      <c r="F11" s="69" t="s">
        <v>50</v>
      </c>
      <c r="G11" s="48">
        <v>2680000</v>
      </c>
      <c r="H11" s="48">
        <v>2680000</v>
      </c>
      <c r="I11" s="4"/>
      <c r="J11" s="4"/>
      <c r="L11" s="5" t="s">
        <v>258</v>
      </c>
      <c r="M11" s="29">
        <f>H12</f>
        <v>450000</v>
      </c>
      <c r="N11" s="4"/>
      <c r="O11" s="29"/>
    </row>
    <row r="12" spans="1:17">
      <c r="A12" s="4">
        <v>21</v>
      </c>
      <c r="B12" s="4" t="s">
        <v>228</v>
      </c>
      <c r="C12" s="4" t="s">
        <v>227</v>
      </c>
      <c r="D12" s="4"/>
      <c r="E12" s="42"/>
      <c r="F12" s="67" t="s">
        <v>35</v>
      </c>
      <c r="G12" s="66">
        <v>450000</v>
      </c>
      <c r="H12" s="48">
        <v>450000</v>
      </c>
      <c r="I12" s="4"/>
      <c r="J12" s="4"/>
      <c r="L12" s="5"/>
      <c r="M12" s="29"/>
      <c r="N12" s="4"/>
      <c r="O12" s="29"/>
    </row>
    <row r="13" spans="1:17">
      <c r="A13" s="4">
        <v>25</v>
      </c>
      <c r="B13" s="4" t="s">
        <v>96</v>
      </c>
      <c r="C13" s="4" t="s">
        <v>97</v>
      </c>
      <c r="D13" s="4"/>
      <c r="E13" s="42"/>
      <c r="F13" s="4" t="s">
        <v>50</v>
      </c>
      <c r="G13" s="57">
        <v>927143</v>
      </c>
      <c r="H13" s="48">
        <v>927143</v>
      </c>
      <c r="I13" s="4"/>
      <c r="J13" s="4"/>
      <c r="L13" s="89"/>
      <c r="M13" s="91">
        <f>SUM(M8+M9+M10+M11)</f>
        <v>8224143</v>
      </c>
      <c r="N13" s="89"/>
      <c r="O13" s="91">
        <f>O8</f>
        <v>8224143</v>
      </c>
    </row>
    <row r="14" spans="1:17">
      <c r="A14" s="4"/>
      <c r="B14" s="4"/>
      <c r="C14" s="4"/>
      <c r="D14" s="4"/>
      <c r="E14" s="42"/>
      <c r="F14" s="4"/>
      <c r="G14" s="48"/>
      <c r="H14" s="42"/>
      <c r="I14" s="4"/>
      <c r="J14" s="4"/>
      <c r="L14" s="7"/>
      <c r="M14" s="103"/>
      <c r="N14" s="7"/>
      <c r="O14" s="103"/>
    </row>
    <row r="15" spans="1:17">
      <c r="A15" s="4"/>
      <c r="B15" s="4"/>
      <c r="C15" s="4"/>
      <c r="D15" s="4"/>
      <c r="E15" s="42"/>
      <c r="F15" s="4"/>
      <c r="G15" s="48"/>
      <c r="H15" s="42"/>
      <c r="I15" s="4"/>
      <c r="J15" s="4"/>
      <c r="L15" s="7"/>
      <c r="M15" s="103"/>
      <c r="N15" s="7"/>
      <c r="O15" s="103"/>
    </row>
    <row r="16" spans="1:17">
      <c r="A16" s="4"/>
      <c r="B16" s="4"/>
      <c r="C16" s="4"/>
      <c r="D16" s="4"/>
      <c r="E16" s="42"/>
      <c r="F16" s="4"/>
      <c r="G16" s="48"/>
      <c r="H16" s="42"/>
      <c r="I16" s="4"/>
      <c r="J16" s="4"/>
      <c r="L16" s="7"/>
      <c r="M16" s="103"/>
      <c r="N16" s="7"/>
      <c r="O16" s="103"/>
    </row>
    <row r="17" spans="1:15">
      <c r="A17" s="4"/>
      <c r="B17" s="4"/>
      <c r="C17" s="4"/>
      <c r="D17" s="4"/>
      <c r="E17" s="42"/>
      <c r="F17" s="4"/>
      <c r="G17" s="48"/>
      <c r="H17" s="42"/>
      <c r="I17" s="4"/>
      <c r="J17" s="4"/>
      <c r="L17" s="7"/>
      <c r="M17" s="103"/>
      <c r="N17" s="7"/>
      <c r="O17" s="103"/>
    </row>
    <row r="18" spans="1:15">
      <c r="A18" s="4"/>
      <c r="B18" s="4"/>
      <c r="C18" s="4"/>
      <c r="D18" s="4"/>
      <c r="E18" s="42"/>
      <c r="F18" s="4"/>
      <c r="G18" s="48"/>
      <c r="H18" s="42"/>
      <c r="I18" s="4"/>
      <c r="J18" s="4"/>
      <c r="L18" s="7"/>
      <c r="M18" s="103"/>
      <c r="N18" s="7"/>
      <c r="O18" s="103"/>
    </row>
    <row r="19" spans="1:15">
      <c r="A19" s="4"/>
      <c r="B19" s="4"/>
      <c r="C19" s="4"/>
      <c r="D19" s="4"/>
      <c r="E19" s="42"/>
      <c r="F19" s="4"/>
      <c r="G19" s="48"/>
      <c r="H19" s="42"/>
      <c r="I19" s="4"/>
      <c r="J19" s="4"/>
      <c r="L19" s="7"/>
      <c r="M19" s="103"/>
      <c r="N19" s="7"/>
      <c r="O19" s="103"/>
    </row>
    <row r="20" spans="1:15">
      <c r="A20" s="4"/>
      <c r="B20" s="4"/>
      <c r="C20" s="4"/>
      <c r="D20" s="4"/>
      <c r="E20" s="42" t="s">
        <v>269</v>
      </c>
      <c r="F20" s="4"/>
      <c r="G20" s="48"/>
      <c r="H20" s="42" t="s">
        <v>270</v>
      </c>
      <c r="I20" s="4"/>
      <c r="J20" s="4"/>
      <c r="L20" s="7"/>
      <c r="M20" s="103"/>
      <c r="N20" s="7"/>
      <c r="O20" s="103"/>
    </row>
    <row r="21" spans="1:15">
      <c r="A21" s="89"/>
      <c r="B21" s="89"/>
      <c r="C21" s="89"/>
      <c r="D21" s="89"/>
      <c r="E21" s="90">
        <f>SUM(E10)</f>
        <v>2442000</v>
      </c>
      <c r="F21" s="89"/>
      <c r="G21" s="92">
        <f>SUM(G9:G13)</f>
        <v>5782143</v>
      </c>
      <c r="H21" s="90">
        <f>SUM(H9:H13)</f>
        <v>8224143</v>
      </c>
      <c r="I21" s="89"/>
      <c r="J21" s="89"/>
      <c r="L21" s="7"/>
      <c r="M21" s="103"/>
      <c r="N21" s="7"/>
      <c r="O21" s="103"/>
    </row>
    <row r="22" spans="1:15">
      <c r="L22" s="105"/>
      <c r="M22" s="104"/>
      <c r="N22" s="105"/>
      <c r="O22" s="104"/>
    </row>
  </sheetData>
  <mergeCells count="16">
    <mergeCell ref="A1:J1"/>
    <mergeCell ref="A2:J2"/>
    <mergeCell ref="A3:J3"/>
    <mergeCell ref="E5:G5"/>
    <mergeCell ref="H5:J5"/>
    <mergeCell ref="A5:A7"/>
    <mergeCell ref="B5:B7"/>
    <mergeCell ref="C5:C7"/>
    <mergeCell ref="D5:D7"/>
    <mergeCell ref="E6:E7"/>
    <mergeCell ref="L5:O5"/>
    <mergeCell ref="F6:G6"/>
    <mergeCell ref="I6:J6"/>
    <mergeCell ref="L6:M6"/>
    <mergeCell ref="N6:O6"/>
    <mergeCell ref="H6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9"/>
  <sheetViews>
    <sheetView topLeftCell="F1" zoomScale="70" zoomScaleNormal="70" workbookViewId="0">
      <selection activeCell="M5" sqref="M5:P13"/>
    </sheetView>
  </sheetViews>
  <sheetFormatPr defaultColWidth="9" defaultRowHeight="14.5"/>
  <cols>
    <col min="3" max="3" width="21.26953125" customWidth="1"/>
    <col min="5" max="5" width="21.26953125" style="45" customWidth="1"/>
    <col min="6" max="6" width="11.7265625" customWidth="1"/>
    <col min="7" max="7" width="18.453125" style="45" customWidth="1"/>
    <col min="8" max="8" width="26" style="45" customWidth="1"/>
    <col min="9" max="9" width="26" customWidth="1"/>
    <col min="10" max="10" width="11.54296875" customWidth="1"/>
    <col min="11" max="11" width="17" style="35" customWidth="1"/>
    <col min="13" max="13" width="16" customWidth="1"/>
    <col min="14" max="14" width="18.54296875" customWidth="1"/>
    <col min="15" max="15" width="16.453125" customWidth="1"/>
    <col min="16" max="16" width="16.81640625" customWidth="1"/>
    <col min="18" max="18" width="9.08984375" customWidth="1"/>
  </cols>
  <sheetData>
    <row r="1" spans="1:18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8">
      <c r="A2" s="150" t="s">
        <v>98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8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5" spans="1:18">
      <c r="A5" s="145" t="s">
        <v>64</v>
      </c>
      <c r="B5" s="145" t="s">
        <v>65</v>
      </c>
      <c r="C5" s="152" t="s">
        <v>66</v>
      </c>
      <c r="D5" s="152" t="s">
        <v>67</v>
      </c>
      <c r="E5" s="146" t="s">
        <v>68</v>
      </c>
      <c r="F5" s="151"/>
      <c r="G5" s="147"/>
      <c r="H5" s="146" t="s">
        <v>69</v>
      </c>
      <c r="I5" s="151"/>
      <c r="J5" s="151"/>
      <c r="K5" s="147"/>
      <c r="M5" s="145" t="s">
        <v>70</v>
      </c>
      <c r="N5" s="145"/>
      <c r="O5" s="145"/>
      <c r="P5" s="145"/>
      <c r="Q5" s="3"/>
      <c r="R5" s="3"/>
    </row>
    <row r="6" spans="1:18">
      <c r="A6" s="145"/>
      <c r="B6" s="145"/>
      <c r="C6" s="153"/>
      <c r="D6" s="153"/>
      <c r="E6" s="155" t="s">
        <v>73</v>
      </c>
      <c r="F6" s="146" t="s">
        <v>72</v>
      </c>
      <c r="G6" s="147"/>
      <c r="H6" s="155" t="s">
        <v>99</v>
      </c>
      <c r="I6" s="152" t="s">
        <v>100</v>
      </c>
      <c r="J6" s="146" t="s">
        <v>72</v>
      </c>
      <c r="K6" s="147"/>
      <c r="M6" s="145" t="s">
        <v>68</v>
      </c>
      <c r="N6" s="145"/>
      <c r="O6" s="145" t="s">
        <v>69</v>
      </c>
      <c r="P6" s="145"/>
    </row>
    <row r="7" spans="1:18">
      <c r="A7" s="145"/>
      <c r="B7" s="145"/>
      <c r="C7" s="154"/>
      <c r="D7" s="154"/>
      <c r="E7" s="156"/>
      <c r="F7" s="9" t="s">
        <v>1</v>
      </c>
      <c r="G7" s="52" t="s">
        <v>74</v>
      </c>
      <c r="H7" s="156"/>
      <c r="I7" s="154"/>
      <c r="J7" s="9" t="s">
        <v>75</v>
      </c>
      <c r="K7" s="36" t="s">
        <v>74</v>
      </c>
      <c r="M7" s="5" t="s">
        <v>75</v>
      </c>
      <c r="N7" s="5" t="s">
        <v>74</v>
      </c>
      <c r="O7" s="5" t="s">
        <v>75</v>
      </c>
      <c r="P7" s="5" t="s">
        <v>74</v>
      </c>
    </row>
    <row r="8" spans="1:18">
      <c r="A8" s="4" t="s">
        <v>76</v>
      </c>
      <c r="B8" s="4"/>
      <c r="C8" s="4"/>
      <c r="D8" s="4"/>
      <c r="E8" s="29"/>
      <c r="F8" s="4"/>
      <c r="G8" s="29"/>
      <c r="H8" s="29"/>
      <c r="I8" s="29"/>
      <c r="J8" s="4"/>
      <c r="K8" s="29"/>
      <c r="L8" s="7"/>
      <c r="M8" s="12" t="s">
        <v>251</v>
      </c>
      <c r="N8" s="29">
        <f>SUM(E9:E11)</f>
        <v>13114100</v>
      </c>
      <c r="O8" s="12" t="s">
        <v>252</v>
      </c>
      <c r="P8" s="29">
        <f>SUM(K10+K12)</f>
        <v>10320000</v>
      </c>
    </row>
    <row r="9" spans="1:18">
      <c r="A9" s="4">
        <v>7</v>
      </c>
      <c r="B9" s="4" t="s">
        <v>101</v>
      </c>
      <c r="C9" s="4" t="s">
        <v>102</v>
      </c>
      <c r="D9" s="4"/>
      <c r="E9" s="29">
        <f>SUM(H9:I9:K9)</f>
        <v>6786100</v>
      </c>
      <c r="F9" s="4"/>
      <c r="G9" s="29"/>
      <c r="H9" s="29">
        <v>5825000</v>
      </c>
      <c r="I9" s="29">
        <v>640750</v>
      </c>
      <c r="J9" s="42" t="s">
        <v>44</v>
      </c>
      <c r="K9" s="29">
        <v>320350</v>
      </c>
      <c r="L9" s="7"/>
      <c r="M9" s="12" t="s">
        <v>250</v>
      </c>
      <c r="N9" s="29">
        <f>SUM(G10:G12)</f>
        <v>10320000</v>
      </c>
      <c r="O9" s="12" t="s">
        <v>253</v>
      </c>
      <c r="P9" s="29">
        <f>SUM(I9+I11)</f>
        <v>1238050</v>
      </c>
    </row>
    <row r="10" spans="1:18">
      <c r="A10" s="53"/>
      <c r="B10" s="53"/>
      <c r="C10" s="53"/>
      <c r="D10" s="53"/>
      <c r="E10" s="54"/>
      <c r="F10" s="53" t="s">
        <v>46</v>
      </c>
      <c r="G10" s="54">
        <f>'IC (1)'!H12+'IC (1)'!H33+'IC(2)'!H12+'IC(2)'!H13</f>
        <v>5260000</v>
      </c>
      <c r="H10" s="54"/>
      <c r="I10" s="54"/>
      <c r="J10" s="53" t="s">
        <v>13</v>
      </c>
      <c r="K10" s="54">
        <f>'IC (1)'!H12+'IC (1)'!H33+'IC(2)'!H12+'IC(2)'!H13</f>
        <v>5260000</v>
      </c>
      <c r="L10" s="7"/>
      <c r="M10" s="4"/>
      <c r="N10" s="29"/>
      <c r="O10" s="12" t="s">
        <v>254</v>
      </c>
      <c r="P10" s="29">
        <f>SUM(H9:H11)</f>
        <v>11255000</v>
      </c>
    </row>
    <row r="11" spans="1:18">
      <c r="A11" s="4">
        <v>24</v>
      </c>
      <c r="B11" s="4" t="s">
        <v>103</v>
      </c>
      <c r="C11" s="4" t="s">
        <v>84</v>
      </c>
      <c r="D11" s="4"/>
      <c r="E11" s="29">
        <f>SUM(H11:I11:K11)</f>
        <v>6328000</v>
      </c>
      <c r="F11" s="4"/>
      <c r="G11" s="29"/>
      <c r="H11" s="29">
        <v>5430000</v>
      </c>
      <c r="I11" s="29">
        <v>597300</v>
      </c>
      <c r="J11" s="4" t="s">
        <v>44</v>
      </c>
      <c r="K11" s="29">
        <v>300700</v>
      </c>
      <c r="L11" s="7"/>
      <c r="M11" s="4"/>
      <c r="N11" s="29"/>
      <c r="O11" s="12" t="s">
        <v>260</v>
      </c>
      <c r="P11" s="29">
        <f>SUM(K9+K11)</f>
        <v>621050</v>
      </c>
    </row>
    <row r="12" spans="1:18">
      <c r="A12" s="4"/>
      <c r="B12" s="4"/>
      <c r="C12" s="4"/>
      <c r="D12" s="4"/>
      <c r="E12" s="29"/>
      <c r="F12" s="4" t="s">
        <v>46</v>
      </c>
      <c r="G12" s="29">
        <f>'IC (1)'!H36+'IC(2)'!H15+'IC(2)'!H34</f>
        <v>5060000</v>
      </c>
      <c r="H12" s="29"/>
      <c r="I12" s="29"/>
      <c r="J12" s="4" t="s">
        <v>13</v>
      </c>
      <c r="K12" s="29">
        <f>'IC (1)'!H36+'IC(2)'!H15+'IC(2)'!H34</f>
        <v>5060000</v>
      </c>
      <c r="L12" s="7"/>
      <c r="M12" s="4"/>
      <c r="N12" s="29"/>
      <c r="O12" s="4"/>
      <c r="P12" s="29"/>
    </row>
    <row r="13" spans="1:18">
      <c r="A13" s="55"/>
      <c r="B13" s="55"/>
      <c r="C13" s="55"/>
      <c r="D13" s="55"/>
      <c r="E13" s="56"/>
      <c r="F13" s="55"/>
      <c r="G13" s="56"/>
      <c r="H13" s="56"/>
      <c r="I13" s="56"/>
      <c r="J13" s="55"/>
      <c r="K13" s="56"/>
      <c r="L13" s="7"/>
      <c r="M13" s="89"/>
      <c r="N13" s="91">
        <f>SUM(N8+N9)</f>
        <v>23434100</v>
      </c>
      <c r="O13" s="89"/>
      <c r="P13" s="91">
        <f>SUM(P8+P9+P10+P11)</f>
        <v>23434100</v>
      </c>
    </row>
    <row r="14" spans="1:18">
      <c r="A14" s="4"/>
      <c r="B14" s="4"/>
      <c r="C14" s="4"/>
      <c r="D14" s="4"/>
      <c r="E14" s="29"/>
      <c r="F14" s="4"/>
      <c r="G14" s="29"/>
      <c r="H14" s="29"/>
      <c r="I14" s="29"/>
      <c r="J14" s="4"/>
      <c r="K14" s="29"/>
      <c r="L14" s="7"/>
      <c r="M14" s="7"/>
      <c r="N14" s="103"/>
      <c r="O14" s="7"/>
      <c r="P14" s="103"/>
    </row>
    <row r="15" spans="1:18">
      <c r="A15" s="4"/>
      <c r="B15" s="4"/>
      <c r="C15" s="4"/>
      <c r="D15" s="4"/>
      <c r="E15" s="29"/>
      <c r="F15" s="4"/>
      <c r="G15" s="29"/>
      <c r="H15" s="29"/>
      <c r="I15" s="29"/>
      <c r="J15" s="4"/>
      <c r="K15" s="29"/>
      <c r="L15" s="7"/>
      <c r="M15" s="7"/>
      <c r="N15" s="103"/>
      <c r="O15" s="7"/>
      <c r="P15" s="103"/>
    </row>
    <row r="16" spans="1:18">
      <c r="A16" s="4"/>
      <c r="B16" s="4"/>
      <c r="C16" s="4"/>
      <c r="D16" s="4"/>
      <c r="E16" s="29"/>
      <c r="F16" s="4"/>
      <c r="G16" s="29"/>
      <c r="H16" s="29"/>
      <c r="I16" s="29"/>
      <c r="J16" s="4"/>
      <c r="K16" s="29"/>
      <c r="L16" s="7"/>
      <c r="M16" s="7"/>
      <c r="N16" s="103"/>
      <c r="O16" s="7"/>
      <c r="P16" s="103"/>
    </row>
    <row r="17" spans="1:16">
      <c r="A17" s="4"/>
      <c r="B17" s="4"/>
      <c r="C17" s="4"/>
      <c r="D17" s="4"/>
      <c r="E17" s="29"/>
      <c r="F17" s="4"/>
      <c r="G17" s="29"/>
      <c r="H17" s="29"/>
      <c r="I17" s="29"/>
      <c r="J17" s="4"/>
      <c r="K17" s="29"/>
      <c r="L17" s="7"/>
      <c r="M17" s="7"/>
      <c r="N17" s="103"/>
      <c r="O17" s="7"/>
      <c r="P17" s="103"/>
    </row>
    <row r="18" spans="1:16">
      <c r="A18" s="4"/>
      <c r="B18" s="4"/>
      <c r="C18" s="4"/>
      <c r="D18" s="4"/>
      <c r="E18" s="29"/>
      <c r="F18" s="4"/>
      <c r="G18" s="29"/>
      <c r="H18" s="29"/>
      <c r="I18" s="29"/>
      <c r="J18" s="4"/>
      <c r="K18" s="29"/>
      <c r="L18" s="7"/>
      <c r="M18" s="7"/>
      <c r="N18" s="103"/>
      <c r="O18" s="7"/>
      <c r="P18" s="103"/>
    </row>
    <row r="19" spans="1:16">
      <c r="A19" s="4"/>
      <c r="B19" s="4"/>
      <c r="C19" s="4"/>
      <c r="D19" s="4"/>
      <c r="E19" s="29" t="s">
        <v>271</v>
      </c>
      <c r="F19" s="4"/>
      <c r="G19" s="29"/>
      <c r="H19" s="29" t="s">
        <v>272</v>
      </c>
      <c r="I19" s="29" t="s">
        <v>273</v>
      </c>
      <c r="J19" s="4"/>
      <c r="K19" s="29"/>
      <c r="L19" s="7"/>
      <c r="M19" s="7"/>
      <c r="N19" s="103"/>
      <c r="O19" s="7"/>
      <c r="P19" s="103"/>
    </row>
    <row r="20" spans="1:16">
      <c r="A20" s="89"/>
      <c r="B20" s="89"/>
      <c r="C20" s="89"/>
      <c r="D20" s="89"/>
      <c r="E20" s="91">
        <f>SUM(E9:E11)</f>
        <v>13114100</v>
      </c>
      <c r="F20" s="89"/>
      <c r="G20" s="91">
        <f>SUM(G10:G12)</f>
        <v>10320000</v>
      </c>
      <c r="H20" s="91">
        <f>SUM(H9:H11)</f>
        <v>11255000</v>
      </c>
      <c r="I20" s="91">
        <f>SUM(I9:I11)</f>
        <v>1238050</v>
      </c>
      <c r="J20" s="89"/>
      <c r="K20" s="91">
        <f>SUM(K9:K12)</f>
        <v>10941050</v>
      </c>
      <c r="L20" s="7"/>
      <c r="M20" s="105"/>
      <c r="N20" s="104"/>
      <c r="O20" s="105"/>
      <c r="P20" s="104"/>
    </row>
    <row r="29" spans="1:16">
      <c r="G29" s="45">
        <f>H9+I9</f>
        <v>6465750</v>
      </c>
    </row>
  </sheetData>
  <mergeCells count="17">
    <mergeCell ref="A1:K1"/>
    <mergeCell ref="A2:K2"/>
    <mergeCell ref="A3:K3"/>
    <mergeCell ref="E5:G5"/>
    <mergeCell ref="H5:K5"/>
    <mergeCell ref="A5:A7"/>
    <mergeCell ref="B5:B7"/>
    <mergeCell ref="C5:C7"/>
    <mergeCell ref="D5:D7"/>
    <mergeCell ref="E6:E7"/>
    <mergeCell ref="M5:P5"/>
    <mergeCell ref="F6:G6"/>
    <mergeCell ref="J6:K6"/>
    <mergeCell ref="M6:N6"/>
    <mergeCell ref="O6:P6"/>
    <mergeCell ref="H6:H7"/>
    <mergeCell ref="I6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1"/>
  <sheetViews>
    <sheetView topLeftCell="G2" zoomScale="75" zoomScaleNormal="153" workbookViewId="0">
      <selection activeCell="M5" sqref="M5:P12"/>
    </sheetView>
  </sheetViews>
  <sheetFormatPr defaultColWidth="9" defaultRowHeight="14.5"/>
  <cols>
    <col min="3" max="3" width="19.453125" customWidth="1"/>
    <col min="5" max="6" width="25.26953125" style="45" customWidth="1"/>
    <col min="7" max="7" width="11.7265625" customWidth="1"/>
    <col min="8" max="8" width="18.453125" style="45" customWidth="1"/>
    <col min="9" max="9" width="26" style="45" customWidth="1"/>
    <col min="10" max="10" width="11.54296875" customWidth="1"/>
    <col min="11" max="11" width="13.453125" customWidth="1"/>
    <col min="13" max="13" width="16" customWidth="1"/>
    <col min="14" max="14" width="18.54296875" customWidth="1"/>
    <col min="15" max="15" width="16.453125" customWidth="1"/>
    <col min="16" max="16" width="16.81640625" customWidth="1"/>
    <col min="18" max="18" width="9.08984375" customWidth="1"/>
  </cols>
  <sheetData>
    <row r="1" spans="1:18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8">
      <c r="A2" s="150" t="s">
        <v>104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18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5" spans="1:18">
      <c r="A5" s="145" t="s">
        <v>64</v>
      </c>
      <c r="B5" s="145" t="s">
        <v>65</v>
      </c>
      <c r="C5" s="152" t="s">
        <v>66</v>
      </c>
      <c r="D5" s="152" t="s">
        <v>67</v>
      </c>
      <c r="E5" s="146" t="s">
        <v>68</v>
      </c>
      <c r="F5" s="151"/>
      <c r="G5" s="151"/>
      <c r="H5" s="147"/>
      <c r="I5" s="146" t="s">
        <v>69</v>
      </c>
      <c r="J5" s="151"/>
      <c r="K5" s="147"/>
      <c r="M5" s="145" t="s">
        <v>70</v>
      </c>
      <c r="N5" s="145"/>
      <c r="O5" s="145"/>
      <c r="P5" s="145"/>
      <c r="Q5" s="3"/>
      <c r="R5" s="3"/>
    </row>
    <row r="6" spans="1:18">
      <c r="A6" s="145"/>
      <c r="B6" s="145"/>
      <c r="C6" s="153"/>
      <c r="D6" s="153"/>
      <c r="E6" s="155" t="s">
        <v>105</v>
      </c>
      <c r="F6" s="155" t="s">
        <v>106</v>
      </c>
      <c r="G6" s="146" t="s">
        <v>72</v>
      </c>
      <c r="H6" s="147"/>
      <c r="I6" s="155" t="s">
        <v>90</v>
      </c>
      <c r="J6" s="146" t="s">
        <v>72</v>
      </c>
      <c r="K6" s="147"/>
      <c r="M6" s="145" t="s">
        <v>68</v>
      </c>
      <c r="N6" s="145"/>
      <c r="O6" s="145" t="s">
        <v>69</v>
      </c>
      <c r="P6" s="145"/>
    </row>
    <row r="7" spans="1:18">
      <c r="A7" s="145"/>
      <c r="B7" s="145"/>
      <c r="C7" s="154"/>
      <c r="D7" s="154"/>
      <c r="E7" s="156"/>
      <c r="F7" s="156"/>
      <c r="G7" s="9" t="s">
        <v>1</v>
      </c>
      <c r="H7" s="52" t="s">
        <v>74</v>
      </c>
      <c r="I7" s="156"/>
      <c r="J7" s="9" t="s">
        <v>75</v>
      </c>
      <c r="K7" s="9" t="s">
        <v>74</v>
      </c>
      <c r="M7" s="5" t="s">
        <v>75</v>
      </c>
      <c r="N7" s="5" t="s">
        <v>74</v>
      </c>
      <c r="O7" s="5" t="s">
        <v>75</v>
      </c>
      <c r="P7" s="5" t="s">
        <v>74</v>
      </c>
    </row>
    <row r="8" spans="1:18">
      <c r="A8" s="4" t="s">
        <v>76</v>
      </c>
      <c r="B8" s="4"/>
      <c r="C8" s="4"/>
      <c r="D8" s="4"/>
      <c r="E8" s="48"/>
      <c r="F8" s="48"/>
      <c r="G8" s="4"/>
      <c r="H8" s="48"/>
      <c r="I8" s="48"/>
      <c r="J8" s="4"/>
      <c r="K8" s="4"/>
      <c r="L8" s="7"/>
      <c r="M8" s="12" t="s">
        <v>252</v>
      </c>
      <c r="N8" s="29">
        <f>SUM(E9:E12)</f>
        <v>18655000</v>
      </c>
      <c r="O8" s="12" t="s">
        <v>255</v>
      </c>
      <c r="P8" s="29">
        <f>SUM(I9:I12)</f>
        <v>21373450</v>
      </c>
    </row>
    <row r="9" spans="1:18">
      <c r="A9" s="4">
        <v>2</v>
      </c>
      <c r="B9" s="4">
        <v>1444</v>
      </c>
      <c r="C9" s="4" t="s">
        <v>107</v>
      </c>
      <c r="D9" s="4"/>
      <c r="E9" s="48">
        <v>2760000</v>
      </c>
      <c r="F9" s="48"/>
      <c r="G9" s="4"/>
      <c r="H9" s="48"/>
      <c r="I9" s="48">
        <v>2760000</v>
      </c>
      <c r="J9" s="4"/>
      <c r="K9" s="4"/>
      <c r="L9" s="7"/>
      <c r="M9" s="12" t="s">
        <v>261</v>
      </c>
      <c r="N9" s="29">
        <f>SUM(F10:F12)</f>
        <v>1748450</v>
      </c>
      <c r="O9" s="4"/>
      <c r="P9" s="29"/>
    </row>
    <row r="10" spans="1:18">
      <c r="A10" s="4">
        <v>6</v>
      </c>
      <c r="B10" s="4">
        <v>102</v>
      </c>
      <c r="C10" s="4" t="s">
        <v>108</v>
      </c>
      <c r="D10" s="4"/>
      <c r="E10" s="48">
        <v>3250000</v>
      </c>
      <c r="F10" s="48">
        <v>357500</v>
      </c>
      <c r="G10" s="4" t="str">
        <f>'TB AWAL'!A27</f>
        <v>5-1200</v>
      </c>
      <c r="H10" s="48">
        <v>250000</v>
      </c>
      <c r="I10" s="48">
        <f>SUM(H10+F10+E10)</f>
        <v>3857500</v>
      </c>
      <c r="J10" s="4"/>
      <c r="K10" s="4"/>
      <c r="L10" s="7"/>
      <c r="M10" s="12" t="s">
        <v>262</v>
      </c>
      <c r="N10" s="29">
        <f>SUM(H10:H12)</f>
        <v>970000</v>
      </c>
      <c r="O10" s="4"/>
      <c r="P10" s="29"/>
    </row>
    <row r="11" spans="1:18">
      <c r="A11" s="4">
        <v>8</v>
      </c>
      <c r="B11" s="4">
        <v>6825</v>
      </c>
      <c r="C11" s="4" t="s">
        <v>109</v>
      </c>
      <c r="D11" s="4"/>
      <c r="E11" s="48">
        <v>1530000</v>
      </c>
      <c r="F11" s="48">
        <v>168300</v>
      </c>
      <c r="G11" s="4" t="str">
        <f>'TB AWAL'!A27</f>
        <v>5-1200</v>
      </c>
      <c r="H11" s="48">
        <v>300000</v>
      </c>
      <c r="I11" s="48">
        <f>SUM(E11:F11:H11)</f>
        <v>1998300</v>
      </c>
      <c r="J11" s="4"/>
      <c r="K11" s="4"/>
      <c r="L11" s="7"/>
      <c r="M11" s="4"/>
      <c r="N11" s="29"/>
      <c r="O11" s="4"/>
      <c r="P11" s="29"/>
    </row>
    <row r="12" spans="1:18">
      <c r="A12" s="4">
        <v>9</v>
      </c>
      <c r="B12" s="4" t="s">
        <v>110</v>
      </c>
      <c r="C12" s="4" t="s">
        <v>111</v>
      </c>
      <c r="D12" s="4"/>
      <c r="E12" s="48">
        <v>11115000</v>
      </c>
      <c r="F12" s="48">
        <v>1222650</v>
      </c>
      <c r="G12" s="4" t="str">
        <f>'TB AWAL'!A27</f>
        <v>5-1200</v>
      </c>
      <c r="H12" s="48">
        <v>420000</v>
      </c>
      <c r="I12" s="48">
        <f>SUM(E12:F12:H12)</f>
        <v>12757650</v>
      </c>
      <c r="J12" s="4"/>
      <c r="K12" s="4"/>
      <c r="L12" s="7"/>
      <c r="M12" s="89"/>
      <c r="N12" s="91">
        <f>SUM(N8+N9+N10)</f>
        <v>21373450</v>
      </c>
      <c r="O12" s="89"/>
      <c r="P12" s="91">
        <f>P8</f>
        <v>21373450</v>
      </c>
    </row>
    <row r="13" spans="1:18">
      <c r="A13" s="4"/>
      <c r="B13" s="4"/>
      <c r="C13" s="4"/>
      <c r="D13" s="4"/>
      <c r="E13" s="48"/>
      <c r="F13" s="48"/>
      <c r="G13" s="4"/>
      <c r="H13" s="48"/>
      <c r="I13" s="48"/>
      <c r="J13" s="4"/>
      <c r="K13" s="4"/>
      <c r="L13" s="7"/>
      <c r="M13" s="7"/>
      <c r="N13" s="103"/>
      <c r="O13" s="7"/>
      <c r="P13" s="103"/>
    </row>
    <row r="14" spans="1:18">
      <c r="A14" s="4"/>
      <c r="B14" s="4"/>
      <c r="C14" s="4"/>
      <c r="D14" s="4"/>
      <c r="E14" s="48"/>
      <c r="F14" s="48"/>
      <c r="G14" s="4"/>
      <c r="H14" s="48"/>
      <c r="I14" s="48"/>
      <c r="J14" s="4"/>
      <c r="K14" s="4"/>
      <c r="L14" s="7"/>
      <c r="M14" s="7"/>
      <c r="N14" s="103"/>
      <c r="O14" s="7"/>
      <c r="P14" s="103"/>
    </row>
    <row r="15" spans="1:18">
      <c r="A15" s="4"/>
      <c r="B15" s="4"/>
      <c r="C15" s="4"/>
      <c r="D15" s="4"/>
      <c r="E15" s="48"/>
      <c r="F15" s="48"/>
      <c r="G15" s="4"/>
      <c r="H15" s="48"/>
      <c r="I15" s="48"/>
      <c r="J15" s="4"/>
      <c r="K15" s="4"/>
      <c r="L15" s="7"/>
      <c r="M15" s="7"/>
      <c r="N15" s="103"/>
      <c r="O15" s="7"/>
      <c r="P15" s="103"/>
    </row>
    <row r="16" spans="1:18">
      <c r="A16" s="4"/>
      <c r="B16" s="4"/>
      <c r="C16" s="4"/>
      <c r="D16" s="4"/>
      <c r="E16" s="48"/>
      <c r="F16" s="48"/>
      <c r="G16" s="4"/>
      <c r="H16" s="48"/>
      <c r="I16" s="48"/>
      <c r="J16" s="4"/>
      <c r="K16" s="4"/>
      <c r="L16" s="7"/>
      <c r="M16" s="7"/>
      <c r="N16" s="103"/>
      <c r="O16" s="7"/>
      <c r="P16" s="103"/>
    </row>
    <row r="17" spans="1:16">
      <c r="A17" s="4"/>
      <c r="B17" s="4"/>
      <c r="C17" s="4"/>
      <c r="D17" s="4"/>
      <c r="E17" s="48"/>
      <c r="F17" s="48"/>
      <c r="G17" s="4"/>
      <c r="H17" s="48"/>
      <c r="I17" s="48"/>
      <c r="J17" s="4"/>
      <c r="K17" s="4"/>
      <c r="L17" s="7"/>
      <c r="M17" s="7"/>
      <c r="N17" s="103"/>
      <c r="O17" s="7"/>
      <c r="P17" s="103"/>
    </row>
    <row r="18" spans="1:16">
      <c r="A18" s="4"/>
      <c r="B18" s="4"/>
      <c r="C18" s="4"/>
      <c r="D18" s="4"/>
      <c r="E18" s="48"/>
      <c r="F18" s="48"/>
      <c r="G18" s="4"/>
      <c r="H18" s="48"/>
      <c r="I18" s="48"/>
      <c r="J18" s="4"/>
      <c r="K18" s="4"/>
      <c r="L18" s="7"/>
      <c r="M18" s="7"/>
      <c r="N18" s="103"/>
      <c r="O18" s="7"/>
      <c r="P18" s="103"/>
    </row>
    <row r="19" spans="1:16">
      <c r="A19" s="4"/>
      <c r="B19" s="4"/>
      <c r="C19" s="4"/>
      <c r="D19" s="4"/>
      <c r="E19" s="48" t="s">
        <v>274</v>
      </c>
      <c r="F19" s="48"/>
      <c r="G19" s="4"/>
      <c r="H19" s="48" t="s">
        <v>275</v>
      </c>
      <c r="I19" s="48" t="s">
        <v>269</v>
      </c>
      <c r="J19" s="4"/>
      <c r="K19" s="4"/>
      <c r="L19" s="7"/>
      <c r="M19" s="7"/>
      <c r="N19" s="103"/>
      <c r="O19" s="7"/>
      <c r="P19" s="105"/>
    </row>
    <row r="20" spans="1:16">
      <c r="A20" s="89"/>
      <c r="B20" s="89"/>
      <c r="C20" s="89"/>
      <c r="D20" s="89"/>
      <c r="E20" s="92">
        <f>SUM(E9:E12)</f>
        <v>18655000</v>
      </c>
      <c r="F20" s="92">
        <f>SUM(F10:F12)</f>
        <v>1748450</v>
      </c>
      <c r="G20" s="89"/>
      <c r="H20" s="92">
        <f>SUM(H10:H12)</f>
        <v>970000</v>
      </c>
      <c r="I20" s="92">
        <f>SUM(I9:I12)</f>
        <v>21373450</v>
      </c>
      <c r="J20" s="89"/>
      <c r="K20" s="89"/>
      <c r="L20" s="7"/>
      <c r="N20" s="104"/>
      <c r="O20" s="105"/>
      <c r="P20" s="104"/>
    </row>
    <row r="21" spans="1:16">
      <c r="N21" s="7"/>
    </row>
  </sheetData>
  <mergeCells count="17">
    <mergeCell ref="A1:K1"/>
    <mergeCell ref="A2:K2"/>
    <mergeCell ref="A3:K3"/>
    <mergeCell ref="E5:H5"/>
    <mergeCell ref="I5:K5"/>
    <mergeCell ref="A5:A7"/>
    <mergeCell ref="B5:B7"/>
    <mergeCell ref="C5:C7"/>
    <mergeCell ref="D5:D7"/>
    <mergeCell ref="E6:E7"/>
    <mergeCell ref="F6:F7"/>
    <mergeCell ref="M5:P5"/>
    <mergeCell ref="G6:H6"/>
    <mergeCell ref="J6:K6"/>
    <mergeCell ref="M6:N6"/>
    <mergeCell ref="O6:P6"/>
    <mergeCell ref="I6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9"/>
  <sheetViews>
    <sheetView topLeftCell="A4" zoomScale="67" zoomScaleNormal="152" workbookViewId="0">
      <selection activeCell="K5" activeCellId="1" sqref="K11:M11 K5:N10"/>
    </sheetView>
  </sheetViews>
  <sheetFormatPr defaultColWidth="9" defaultRowHeight="14.5"/>
  <cols>
    <col min="3" max="3" width="36.81640625" customWidth="1"/>
    <col min="6" max="6" width="18" style="45" customWidth="1"/>
    <col min="8" max="8" width="18.453125" style="45" customWidth="1"/>
    <col min="11" max="11" width="16.54296875" customWidth="1"/>
    <col min="12" max="12" width="17.6328125" customWidth="1"/>
    <col min="13" max="13" width="15.6328125" customWidth="1"/>
    <col min="14" max="14" width="17.6328125" customWidth="1"/>
  </cols>
  <sheetData>
    <row r="1" spans="1:14">
      <c r="A1" s="150"/>
      <c r="B1" s="150"/>
      <c r="C1" s="150"/>
      <c r="D1" s="150"/>
      <c r="E1" s="150"/>
      <c r="F1" s="150"/>
      <c r="G1" s="150"/>
      <c r="H1" s="150"/>
    </row>
    <row r="2" spans="1:14">
      <c r="A2" s="150" t="s">
        <v>112</v>
      </c>
      <c r="B2" s="150"/>
      <c r="C2" s="150"/>
      <c r="D2" s="150"/>
      <c r="E2" s="150"/>
      <c r="F2" s="150"/>
      <c r="G2" s="150"/>
      <c r="H2" s="150"/>
    </row>
    <row r="3" spans="1:14">
      <c r="A3" s="150"/>
      <c r="B3" s="150"/>
      <c r="C3" s="150"/>
      <c r="D3" s="150"/>
      <c r="E3" s="150"/>
      <c r="F3" s="150"/>
      <c r="G3" s="150"/>
      <c r="H3" s="150"/>
    </row>
    <row r="5" spans="1:14" ht="15.5">
      <c r="A5" s="158" t="s">
        <v>64</v>
      </c>
      <c r="B5" s="158" t="s">
        <v>65</v>
      </c>
      <c r="C5" s="158" t="s">
        <v>66</v>
      </c>
      <c r="D5" s="158" t="s">
        <v>67</v>
      </c>
      <c r="E5" s="160" t="s">
        <v>3</v>
      </c>
      <c r="F5" s="161"/>
      <c r="G5" s="160" t="s">
        <v>69</v>
      </c>
      <c r="H5" s="161"/>
      <c r="K5" s="157" t="s">
        <v>70</v>
      </c>
      <c r="L5" s="157"/>
      <c r="M5" s="157"/>
      <c r="N5" s="157"/>
    </row>
    <row r="6" spans="1:14" ht="15.5">
      <c r="A6" s="159"/>
      <c r="B6" s="159"/>
      <c r="C6" s="159"/>
      <c r="D6" s="159"/>
      <c r="E6" s="111" t="s">
        <v>75</v>
      </c>
      <c r="F6" s="112" t="s">
        <v>74</v>
      </c>
      <c r="G6" s="111" t="s">
        <v>75</v>
      </c>
      <c r="H6" s="112" t="s">
        <v>74</v>
      </c>
      <c r="K6" s="157" t="s">
        <v>68</v>
      </c>
      <c r="L6" s="157"/>
      <c r="M6" s="157" t="s">
        <v>69</v>
      </c>
      <c r="N6" s="157"/>
    </row>
    <row r="7" spans="1:14" ht="15.5">
      <c r="A7" s="113" t="s">
        <v>113</v>
      </c>
      <c r="B7" s="113"/>
      <c r="C7" s="113"/>
      <c r="D7" s="113"/>
      <c r="E7" s="113"/>
      <c r="F7" s="114"/>
      <c r="G7" s="113"/>
      <c r="H7" s="114"/>
      <c r="K7" s="111" t="s">
        <v>75</v>
      </c>
      <c r="L7" s="111" t="s">
        <v>74</v>
      </c>
      <c r="M7" s="111" t="s">
        <v>75</v>
      </c>
      <c r="N7" s="111" t="s">
        <v>74</v>
      </c>
    </row>
    <row r="8" spans="1:14" ht="15.5">
      <c r="A8" s="111">
        <v>4</v>
      </c>
      <c r="B8" s="111" t="s">
        <v>114</v>
      </c>
      <c r="C8" s="113" t="s">
        <v>16</v>
      </c>
      <c r="D8" s="113"/>
      <c r="E8" s="113" t="str">
        <f>'TB AWAL'!A11</f>
        <v>1-1600</v>
      </c>
      <c r="F8" s="114">
        <v>448100</v>
      </c>
      <c r="G8" s="113" t="str">
        <f>'TB AWAL'!A7</f>
        <v>1-1200</v>
      </c>
      <c r="H8" s="114">
        <v>448100</v>
      </c>
      <c r="K8" s="119" t="s">
        <v>263</v>
      </c>
      <c r="L8" s="120">
        <v>448100</v>
      </c>
      <c r="M8" s="119" t="s">
        <v>259</v>
      </c>
      <c r="N8" s="120">
        <f>SUM(H8+H9+H10)</f>
        <v>848100</v>
      </c>
    </row>
    <row r="9" spans="1:14" ht="15.5">
      <c r="A9" s="111">
        <v>16</v>
      </c>
      <c r="B9" s="111" t="s">
        <v>115</v>
      </c>
      <c r="C9" s="113" t="s">
        <v>116</v>
      </c>
      <c r="D9" s="113"/>
      <c r="E9" s="113" t="s">
        <v>61</v>
      </c>
      <c r="F9" s="114">
        <v>400000</v>
      </c>
      <c r="G9" s="113" t="s">
        <v>7</v>
      </c>
      <c r="H9" s="114">
        <v>400000</v>
      </c>
      <c r="K9" s="119" t="s">
        <v>264</v>
      </c>
      <c r="L9" s="120">
        <v>400000</v>
      </c>
      <c r="M9" s="111"/>
      <c r="N9" s="120"/>
    </row>
    <row r="10" spans="1:14" ht="15.5">
      <c r="A10" s="111"/>
      <c r="B10" s="111"/>
      <c r="C10" s="113"/>
      <c r="D10" s="113"/>
      <c r="E10" s="113"/>
      <c r="F10" s="114"/>
      <c r="G10" s="113"/>
      <c r="H10" s="114"/>
      <c r="K10" s="113"/>
      <c r="L10" s="121"/>
      <c r="M10" s="113"/>
      <c r="N10" s="121"/>
    </row>
    <row r="11" spans="1:14" ht="15.5">
      <c r="A11" s="113"/>
      <c r="B11" s="113"/>
      <c r="C11" s="113"/>
      <c r="D11" s="113"/>
      <c r="E11" s="113"/>
      <c r="F11" s="114"/>
      <c r="G11" s="113"/>
      <c r="H11" s="114"/>
      <c r="K11" s="115"/>
      <c r="L11" s="122">
        <f>SUM(L8+L9)</f>
        <v>848100</v>
      </c>
      <c r="M11" s="115"/>
      <c r="N11" s="122">
        <f>N8</f>
        <v>848100</v>
      </c>
    </row>
    <row r="12" spans="1:14" ht="15.5">
      <c r="A12" s="113"/>
      <c r="B12" s="113"/>
      <c r="C12" s="113"/>
      <c r="D12" s="113"/>
      <c r="E12" s="113"/>
      <c r="F12" s="114"/>
      <c r="G12" s="113"/>
      <c r="H12" s="114"/>
      <c r="L12" s="108"/>
      <c r="N12" s="108"/>
    </row>
    <row r="13" spans="1:14" ht="15.5">
      <c r="A13" s="113"/>
      <c r="B13" s="113"/>
      <c r="C13" s="113"/>
      <c r="D13" s="113"/>
      <c r="E13" s="113"/>
      <c r="F13" s="114"/>
      <c r="G13" s="113"/>
      <c r="H13" s="114"/>
      <c r="L13" s="108"/>
      <c r="N13" s="108"/>
    </row>
    <row r="14" spans="1:14" ht="15.5">
      <c r="A14" s="113"/>
      <c r="B14" s="113"/>
      <c r="C14" s="113"/>
      <c r="D14" s="113"/>
      <c r="E14" s="113"/>
      <c r="F14" s="114"/>
      <c r="G14" s="113"/>
      <c r="H14" s="114"/>
      <c r="L14" s="108"/>
      <c r="N14" s="108"/>
    </row>
    <row r="15" spans="1:14" ht="15.5">
      <c r="A15" s="113"/>
      <c r="B15" s="113"/>
      <c r="C15" s="113"/>
      <c r="D15" s="113"/>
      <c r="E15" s="113"/>
      <c r="F15" s="114"/>
      <c r="G15" s="113"/>
      <c r="H15" s="114"/>
      <c r="L15" s="108"/>
      <c r="N15" s="108"/>
    </row>
    <row r="16" spans="1:14" ht="15.5">
      <c r="A16" s="113"/>
      <c r="B16" s="113"/>
      <c r="C16" s="113"/>
      <c r="D16" s="113"/>
      <c r="E16" s="113"/>
      <c r="F16" s="114"/>
      <c r="G16" s="113"/>
      <c r="H16" s="114"/>
      <c r="L16" s="108"/>
      <c r="N16" s="108"/>
    </row>
    <row r="17" spans="1:14" ht="15.5">
      <c r="A17" s="113"/>
      <c r="B17" s="113"/>
      <c r="C17" s="113"/>
      <c r="D17" s="113"/>
      <c r="E17" s="113"/>
      <c r="F17" s="114"/>
      <c r="G17" s="113"/>
      <c r="H17" s="114"/>
      <c r="L17" s="108"/>
      <c r="N17" s="108"/>
    </row>
    <row r="18" spans="1:14" ht="15.5">
      <c r="A18" s="113"/>
      <c r="B18" s="113"/>
      <c r="C18" s="113"/>
      <c r="D18" s="113"/>
      <c r="E18" s="113"/>
      <c r="F18" s="114"/>
      <c r="G18" s="113"/>
      <c r="H18" s="114"/>
      <c r="L18" s="108"/>
      <c r="N18" s="108"/>
    </row>
    <row r="19" spans="1:14" ht="15.5">
      <c r="A19" s="113"/>
      <c r="B19" s="113"/>
      <c r="C19" s="113"/>
      <c r="D19" s="113"/>
      <c r="E19" s="113"/>
      <c r="F19" s="114"/>
      <c r="G19" s="113"/>
      <c r="H19" s="114"/>
      <c r="K19" s="109"/>
      <c r="L19" s="110"/>
      <c r="M19" s="110"/>
      <c r="N19" s="110"/>
    </row>
    <row r="20" spans="1:14" ht="15.5">
      <c r="A20" s="113"/>
      <c r="B20" s="113"/>
      <c r="C20" s="113"/>
      <c r="D20" s="113"/>
      <c r="E20" s="113"/>
      <c r="F20" s="114"/>
      <c r="G20" s="113"/>
      <c r="H20" s="114"/>
    </row>
    <row r="21" spans="1:14" ht="15.5">
      <c r="A21" s="113"/>
      <c r="B21" s="113"/>
      <c r="C21" s="113"/>
      <c r="D21" s="113"/>
      <c r="E21" s="113"/>
      <c r="F21" s="114"/>
      <c r="G21" s="113"/>
      <c r="H21" s="114"/>
    </row>
    <row r="22" spans="1:14" ht="15.5">
      <c r="A22" s="113"/>
      <c r="B22" s="113"/>
      <c r="C22" s="113"/>
      <c r="D22" s="113"/>
      <c r="E22" s="113"/>
      <c r="F22" s="114"/>
      <c r="G22" s="113"/>
      <c r="H22" s="114"/>
    </row>
    <row r="23" spans="1:14" ht="15.5">
      <c r="A23" s="113"/>
      <c r="B23" s="113"/>
      <c r="C23" s="113"/>
      <c r="D23" s="113"/>
      <c r="E23" s="113"/>
      <c r="F23" s="114"/>
      <c r="G23" s="113"/>
      <c r="H23" s="114"/>
    </row>
    <row r="24" spans="1:14" ht="15.5">
      <c r="A24" s="113"/>
      <c r="B24" s="113"/>
      <c r="C24" s="113"/>
      <c r="D24" s="113"/>
      <c r="E24" s="113"/>
      <c r="F24" s="114"/>
      <c r="G24" s="113"/>
      <c r="H24" s="114"/>
    </row>
    <row r="25" spans="1:14" ht="15.5">
      <c r="A25" s="113"/>
      <c r="B25" s="113"/>
      <c r="C25" s="113"/>
      <c r="D25" s="113"/>
      <c r="E25" s="113"/>
      <c r="F25" s="114"/>
      <c r="G25" s="113"/>
      <c r="H25" s="114"/>
    </row>
    <row r="26" spans="1:14" ht="15.5">
      <c r="A26" s="113"/>
      <c r="B26" s="113"/>
      <c r="C26" s="113"/>
      <c r="D26" s="113"/>
      <c r="E26" s="113"/>
      <c r="F26" s="114"/>
      <c r="G26" s="113"/>
      <c r="H26" s="114"/>
    </row>
    <row r="27" spans="1:14" ht="15.5">
      <c r="A27" s="113"/>
      <c r="B27" s="113"/>
      <c r="C27" s="113"/>
      <c r="D27" s="113"/>
      <c r="E27" s="113"/>
      <c r="F27" s="114"/>
      <c r="G27" s="113"/>
      <c r="H27" s="114"/>
    </row>
    <row r="28" spans="1:14" ht="15.5">
      <c r="A28" s="113"/>
      <c r="B28" s="113"/>
      <c r="C28" s="113"/>
      <c r="D28" s="113"/>
      <c r="E28" s="113"/>
      <c r="F28" s="112" t="s">
        <v>276</v>
      </c>
      <c r="G28" s="113"/>
      <c r="H28" s="112" t="s">
        <v>277</v>
      </c>
    </row>
    <row r="29" spans="1:14" ht="15.5">
      <c r="A29" s="115"/>
      <c r="B29" s="115"/>
      <c r="C29" s="116" t="s">
        <v>117</v>
      </c>
      <c r="D29" s="115"/>
      <c r="E29" s="115"/>
      <c r="F29" s="117">
        <f>SUM(F8:F10)</f>
        <v>848100</v>
      </c>
      <c r="G29" s="115"/>
      <c r="H29" s="117">
        <f>SUM(H8:H10)</f>
        <v>848100</v>
      </c>
    </row>
  </sheetData>
  <mergeCells count="12">
    <mergeCell ref="A1:H1"/>
    <mergeCell ref="A2:H2"/>
    <mergeCell ref="A3:H3"/>
    <mergeCell ref="E5:F5"/>
    <mergeCell ref="G5:H5"/>
    <mergeCell ref="K5:N5"/>
    <mergeCell ref="K6:L6"/>
    <mergeCell ref="M6:N6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5"/>
  <sheetViews>
    <sheetView zoomScale="66" zoomScaleNormal="121" workbookViewId="0">
      <selection activeCell="I5" sqref="I5:L11"/>
    </sheetView>
  </sheetViews>
  <sheetFormatPr defaultColWidth="9" defaultRowHeight="14.5"/>
  <cols>
    <col min="3" max="3" width="36.81640625" customWidth="1"/>
    <col min="5" max="5" width="20.08984375" style="49" customWidth="1"/>
    <col min="6" max="6" width="19.81640625" style="49" customWidth="1"/>
    <col min="9" max="9" width="16.7265625" customWidth="1"/>
    <col min="10" max="10" width="17.81640625" customWidth="1"/>
    <col min="11" max="11" width="16.7265625" customWidth="1"/>
    <col min="12" max="12" width="17.7265625" customWidth="1"/>
  </cols>
  <sheetData>
    <row r="1" spans="1:12">
      <c r="A1" s="162"/>
      <c r="B1" s="162"/>
      <c r="C1" s="162"/>
      <c r="D1" s="162"/>
      <c r="E1" s="163"/>
      <c r="F1" s="163"/>
    </row>
    <row r="2" spans="1:12">
      <c r="A2" s="162" t="s">
        <v>118</v>
      </c>
      <c r="B2" s="162"/>
      <c r="C2" s="162"/>
      <c r="D2" s="162"/>
      <c r="E2" s="163"/>
      <c r="F2" s="163"/>
    </row>
    <row r="3" spans="1:12">
      <c r="A3" s="162"/>
      <c r="B3" s="162"/>
      <c r="C3" s="162"/>
      <c r="D3" s="162"/>
      <c r="E3" s="163"/>
      <c r="F3" s="163"/>
    </row>
    <row r="5" spans="1:12">
      <c r="A5" s="152" t="s">
        <v>64</v>
      </c>
      <c r="B5" s="152" t="s">
        <v>119</v>
      </c>
      <c r="C5" s="152" t="s">
        <v>66</v>
      </c>
      <c r="D5" s="152" t="s">
        <v>120</v>
      </c>
      <c r="E5" s="164" t="s">
        <v>3</v>
      </c>
      <c r="F5" s="164" t="s">
        <v>69</v>
      </c>
      <c r="I5" s="145" t="s">
        <v>70</v>
      </c>
      <c r="J5" s="145"/>
      <c r="K5" s="145"/>
      <c r="L5" s="145"/>
    </row>
    <row r="6" spans="1:12">
      <c r="A6" s="154"/>
      <c r="B6" s="154"/>
      <c r="C6" s="154"/>
      <c r="D6" s="154"/>
      <c r="E6" s="165"/>
      <c r="F6" s="165"/>
      <c r="I6" s="145" t="s">
        <v>68</v>
      </c>
      <c r="J6" s="145"/>
      <c r="K6" s="145" t="s">
        <v>69</v>
      </c>
      <c r="L6" s="145"/>
    </row>
    <row r="7" spans="1:12">
      <c r="A7" s="5" t="s">
        <v>121</v>
      </c>
      <c r="B7" s="5" t="s">
        <v>122</v>
      </c>
      <c r="C7" s="5" t="s">
        <v>123</v>
      </c>
      <c r="D7" s="5"/>
      <c r="E7" s="50">
        <v>94350</v>
      </c>
      <c r="F7" s="50"/>
      <c r="I7" s="5" t="s">
        <v>75</v>
      </c>
      <c r="J7" s="5" t="s">
        <v>74</v>
      </c>
      <c r="K7" s="5" t="s">
        <v>75</v>
      </c>
      <c r="L7" s="5" t="s">
        <v>74</v>
      </c>
    </row>
    <row r="8" spans="1:12">
      <c r="A8" s="5"/>
      <c r="B8" s="5"/>
      <c r="C8" s="13" t="s">
        <v>124</v>
      </c>
      <c r="D8" s="5"/>
      <c r="F8" s="50">
        <v>85000</v>
      </c>
      <c r="I8" s="5" t="s">
        <v>255</v>
      </c>
      <c r="J8" s="10">
        <f>SUM(E7)</f>
        <v>94350</v>
      </c>
      <c r="K8" s="5" t="s">
        <v>252</v>
      </c>
      <c r="L8" s="10">
        <f>SUM(F8)</f>
        <v>85000</v>
      </c>
    </row>
    <row r="9" spans="1:12">
      <c r="A9" s="5"/>
      <c r="B9" s="5"/>
      <c r="C9" s="13" t="s">
        <v>125</v>
      </c>
      <c r="D9" s="5"/>
      <c r="E9" s="50"/>
      <c r="F9" s="50">
        <v>9350</v>
      </c>
      <c r="I9" s="5"/>
      <c r="J9" s="10"/>
      <c r="K9" s="5" t="s">
        <v>261</v>
      </c>
      <c r="L9" s="10">
        <f>SUM(F9)</f>
        <v>9350</v>
      </c>
    </row>
    <row r="10" spans="1:12">
      <c r="A10" s="5"/>
      <c r="B10" s="5"/>
      <c r="C10" s="12"/>
      <c r="D10" s="5"/>
      <c r="E10" s="50"/>
      <c r="F10" s="50"/>
      <c r="I10" s="5"/>
      <c r="J10" s="10"/>
      <c r="K10" s="5"/>
      <c r="L10" s="10"/>
    </row>
    <row r="11" spans="1:12">
      <c r="A11" s="5"/>
      <c r="B11" s="5"/>
      <c r="C11" s="13"/>
      <c r="D11" s="5"/>
      <c r="E11" s="50"/>
      <c r="F11" s="50"/>
      <c r="I11" s="88"/>
      <c r="J11" s="93">
        <f>J8</f>
        <v>94350</v>
      </c>
      <c r="K11" s="88"/>
      <c r="L11" s="93">
        <f>SUM(L8+L9)</f>
        <v>94350</v>
      </c>
    </row>
    <row r="12" spans="1:12">
      <c r="A12" s="5"/>
      <c r="B12" s="5"/>
      <c r="C12" s="5"/>
      <c r="D12" s="5"/>
      <c r="E12" s="50"/>
      <c r="F12" s="50"/>
      <c r="J12" s="108"/>
      <c r="L12" s="108"/>
    </row>
    <row r="13" spans="1:12">
      <c r="A13" s="5"/>
      <c r="B13" s="5"/>
      <c r="C13" s="5"/>
      <c r="D13" s="5"/>
      <c r="E13" s="50"/>
      <c r="F13" s="50"/>
      <c r="J13" s="108"/>
      <c r="L13" s="108"/>
    </row>
    <row r="14" spans="1:12">
      <c r="A14" s="5"/>
      <c r="B14" s="5"/>
      <c r="C14" s="5"/>
      <c r="D14" s="5"/>
      <c r="E14" s="50"/>
      <c r="F14" s="50"/>
      <c r="J14" s="108"/>
      <c r="L14" s="108"/>
    </row>
    <row r="15" spans="1:12">
      <c r="A15" s="5"/>
      <c r="B15" s="5"/>
      <c r="C15" s="5"/>
      <c r="D15" s="5"/>
      <c r="E15" s="50"/>
      <c r="F15" s="50"/>
      <c r="J15" s="108"/>
      <c r="L15" s="108"/>
    </row>
    <row r="16" spans="1:12">
      <c r="A16" s="5"/>
      <c r="B16" s="5"/>
      <c r="C16" s="5"/>
      <c r="D16" s="5"/>
      <c r="E16" s="50"/>
      <c r="F16" s="50"/>
      <c r="J16" s="108"/>
      <c r="L16" s="108"/>
    </row>
    <row r="17" spans="1:12">
      <c r="A17" s="5"/>
      <c r="B17" s="5"/>
      <c r="C17" s="5"/>
      <c r="D17" s="5"/>
      <c r="E17" s="50"/>
      <c r="F17" s="50"/>
      <c r="J17" s="108"/>
      <c r="L17" s="108"/>
    </row>
    <row r="18" spans="1:12">
      <c r="A18" s="5"/>
      <c r="B18" s="5"/>
      <c r="C18" s="5"/>
      <c r="D18" s="5"/>
      <c r="E18" s="50"/>
      <c r="F18" s="50"/>
      <c r="J18" s="108"/>
      <c r="L18" s="108"/>
    </row>
    <row r="19" spans="1:12">
      <c r="A19" s="5"/>
      <c r="B19" s="5"/>
      <c r="C19" s="5"/>
      <c r="D19" s="5"/>
      <c r="E19" s="50"/>
      <c r="F19" s="50"/>
      <c r="J19" s="108"/>
      <c r="L19" s="108"/>
    </row>
    <row r="20" spans="1:12">
      <c r="A20" s="5"/>
      <c r="B20" s="5"/>
      <c r="C20" s="5"/>
      <c r="D20" s="5"/>
      <c r="E20" s="50"/>
      <c r="F20" s="50"/>
      <c r="I20" s="109"/>
      <c r="J20" s="110"/>
      <c r="K20" s="109"/>
      <c r="L20" s="110"/>
    </row>
    <row r="21" spans="1:12">
      <c r="A21" s="5"/>
      <c r="B21" s="5"/>
      <c r="C21" s="5"/>
      <c r="D21" s="5"/>
      <c r="E21" s="50"/>
      <c r="F21" s="50"/>
    </row>
    <row r="22" spans="1:12">
      <c r="A22" s="5"/>
      <c r="B22" s="5"/>
      <c r="C22" s="5"/>
      <c r="D22" s="5"/>
      <c r="E22" s="50"/>
      <c r="F22" s="51"/>
    </row>
    <row r="23" spans="1:12">
      <c r="A23" s="5"/>
      <c r="B23" s="5"/>
      <c r="C23" s="5"/>
      <c r="D23" s="5"/>
      <c r="E23" s="51"/>
      <c r="F23" s="51"/>
    </row>
    <row r="24" spans="1:12">
      <c r="A24" s="5"/>
      <c r="B24" s="5"/>
      <c r="C24" s="5"/>
      <c r="D24" s="5"/>
      <c r="E24" s="51"/>
      <c r="F24" s="51"/>
    </row>
    <row r="25" spans="1:12">
      <c r="A25" s="88"/>
      <c r="B25" s="88"/>
      <c r="C25" s="89" t="s">
        <v>117</v>
      </c>
      <c r="D25" s="88"/>
      <c r="E25" s="94">
        <f>SUM(E7)</f>
        <v>94350</v>
      </c>
      <c r="F25" s="95">
        <f>SUM(F8:F9)</f>
        <v>94350</v>
      </c>
    </row>
  </sheetData>
  <mergeCells count="12">
    <mergeCell ref="A1:F1"/>
    <mergeCell ref="A2:F2"/>
    <mergeCell ref="A3:F3"/>
    <mergeCell ref="I5:L5"/>
    <mergeCell ref="I6:J6"/>
    <mergeCell ref="K6:L6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3"/>
  <sheetViews>
    <sheetView topLeftCell="A18" zoomScale="70" zoomScaleNormal="70" workbookViewId="0">
      <selection activeCell="A28" sqref="A28:K43"/>
    </sheetView>
  </sheetViews>
  <sheetFormatPr defaultColWidth="9" defaultRowHeight="14.5"/>
  <cols>
    <col min="4" max="4" width="17.7265625" style="45" customWidth="1"/>
    <col min="5" max="5" width="19.54296875" style="45" customWidth="1"/>
    <col min="7" max="7" width="18.26953125" style="45" customWidth="1"/>
    <col min="8" max="8" width="19.08984375" style="45" customWidth="1"/>
    <col min="10" max="10" width="17.7265625" style="35" customWidth="1"/>
    <col min="11" max="11" width="19.453125" style="35" customWidth="1"/>
    <col min="14" max="14" width="12.90625"/>
  </cols>
  <sheetData>
    <row r="1" spans="1:1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1">
      <c r="A2" s="162" t="s">
        <v>126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1">
      <c r="A4" s="2"/>
      <c r="B4" s="2"/>
      <c r="C4" s="2"/>
      <c r="D4" s="46"/>
      <c r="E4" s="46"/>
      <c r="F4" s="2"/>
    </row>
    <row r="5" spans="1:11">
      <c r="A5" t="s">
        <v>127</v>
      </c>
    </row>
    <row r="6" spans="1:11">
      <c r="A6" s="145" t="s">
        <v>64</v>
      </c>
      <c r="B6" s="145" t="s">
        <v>65</v>
      </c>
      <c r="C6" s="145" t="s">
        <v>128</v>
      </c>
      <c r="D6" s="145"/>
      <c r="E6" s="145"/>
      <c r="F6" s="145" t="s">
        <v>129</v>
      </c>
      <c r="G6" s="145"/>
      <c r="H6" s="145"/>
      <c r="I6" s="145" t="s">
        <v>130</v>
      </c>
      <c r="J6" s="145"/>
      <c r="K6" s="145"/>
    </row>
    <row r="7" spans="1:11">
      <c r="A7" s="145"/>
      <c r="B7" s="145"/>
      <c r="C7" s="40" t="s">
        <v>131</v>
      </c>
      <c r="D7" s="47" t="s">
        <v>132</v>
      </c>
      <c r="E7" s="47" t="s">
        <v>74</v>
      </c>
      <c r="F7" s="40" t="s">
        <v>131</v>
      </c>
      <c r="G7" s="47" t="s">
        <v>132</v>
      </c>
      <c r="H7" s="47" t="s">
        <v>74</v>
      </c>
      <c r="I7" s="40" t="s">
        <v>131</v>
      </c>
      <c r="J7" s="41" t="s">
        <v>132</v>
      </c>
      <c r="K7" s="41" t="s">
        <v>74</v>
      </c>
    </row>
    <row r="8" spans="1:11">
      <c r="A8" s="9" t="s">
        <v>113</v>
      </c>
      <c r="B8" s="9"/>
      <c r="C8" s="40"/>
      <c r="D8" s="47"/>
      <c r="E8" s="47"/>
      <c r="F8" s="40"/>
      <c r="G8" s="47"/>
      <c r="H8" s="47"/>
      <c r="I8" s="40"/>
      <c r="J8" s="41"/>
      <c r="K8" s="41"/>
    </row>
    <row r="9" spans="1:11">
      <c r="A9" s="4">
        <v>1</v>
      </c>
      <c r="B9" s="4"/>
      <c r="C9" s="4"/>
      <c r="D9" s="48"/>
      <c r="E9" s="48"/>
      <c r="F9" s="4"/>
      <c r="G9" s="48"/>
      <c r="H9" s="48"/>
      <c r="I9" s="4">
        <v>20</v>
      </c>
      <c r="J9" s="42">
        <v>65000</v>
      </c>
      <c r="K9" s="42">
        <f>I9*J9</f>
        <v>1300000</v>
      </c>
    </row>
    <row r="10" spans="1:11">
      <c r="A10" s="4">
        <v>3</v>
      </c>
      <c r="B10" s="4" t="s">
        <v>133</v>
      </c>
      <c r="C10" s="4"/>
      <c r="D10" s="48"/>
      <c r="E10" s="48"/>
      <c r="F10" s="4">
        <v>20</v>
      </c>
      <c r="G10" s="48">
        <v>65000</v>
      </c>
      <c r="H10" s="48">
        <f>G10*F10</f>
        <v>1300000</v>
      </c>
      <c r="I10" s="4">
        <f>I9-F10</f>
        <v>0</v>
      </c>
      <c r="J10" s="42">
        <v>65000</v>
      </c>
      <c r="K10" s="42">
        <f>J10*I10</f>
        <v>0</v>
      </c>
    </row>
    <row r="11" spans="1:11">
      <c r="A11" s="4">
        <v>6</v>
      </c>
      <c r="B11" s="4">
        <v>102</v>
      </c>
      <c r="C11" s="4">
        <v>50</v>
      </c>
      <c r="D11" s="48">
        <v>65000</v>
      </c>
      <c r="E11" s="48">
        <f>D11*C11</f>
        <v>3250000</v>
      </c>
      <c r="F11" s="4"/>
      <c r="G11" s="48"/>
      <c r="H11" s="48"/>
      <c r="I11" s="4">
        <f>SUM(I10+C11)</f>
        <v>50</v>
      </c>
      <c r="J11" s="42">
        <v>65000</v>
      </c>
      <c r="K11" s="42">
        <f>J11*I11</f>
        <v>3250000</v>
      </c>
    </row>
    <row r="12" spans="1:11">
      <c r="A12" s="4">
        <v>7</v>
      </c>
      <c r="B12" s="4" t="s">
        <v>101</v>
      </c>
      <c r="C12" s="4"/>
      <c r="D12" s="48"/>
      <c r="E12" s="48"/>
      <c r="F12" s="4">
        <v>20</v>
      </c>
      <c r="G12" s="48">
        <v>65000</v>
      </c>
      <c r="H12" s="48">
        <f>F12*G12</f>
        <v>1300000</v>
      </c>
      <c r="I12" s="5">
        <f>I11-F12</f>
        <v>30</v>
      </c>
      <c r="J12" s="42">
        <v>65000</v>
      </c>
      <c r="K12" s="38">
        <f>I12*J12</f>
        <v>1950000</v>
      </c>
    </row>
    <row r="13" spans="1:11">
      <c r="A13" s="4">
        <v>15</v>
      </c>
      <c r="B13" s="4" t="s">
        <v>134</v>
      </c>
      <c r="C13" s="4"/>
      <c r="D13" s="48"/>
      <c r="E13" s="48"/>
      <c r="F13" s="4">
        <v>15</v>
      </c>
      <c r="G13" s="48">
        <v>65000</v>
      </c>
      <c r="H13" s="48">
        <f>F13*G13</f>
        <v>975000</v>
      </c>
      <c r="I13" s="5">
        <f>I12-F13</f>
        <v>15</v>
      </c>
      <c r="J13" s="42">
        <v>65000</v>
      </c>
      <c r="K13" s="38">
        <f>I13*J13</f>
        <v>975000</v>
      </c>
    </row>
    <row r="14" spans="1:11">
      <c r="A14" s="4"/>
      <c r="B14" s="4"/>
      <c r="C14" s="4"/>
      <c r="D14" s="48"/>
      <c r="E14" s="48"/>
      <c r="F14" s="4"/>
      <c r="G14" s="48"/>
      <c r="H14" s="48"/>
      <c r="I14" s="4"/>
      <c r="J14" s="42"/>
      <c r="K14" s="42"/>
    </row>
    <row r="15" spans="1:11">
      <c r="A15" s="4"/>
      <c r="B15" s="4"/>
      <c r="C15" s="4"/>
      <c r="D15" s="48"/>
      <c r="E15" s="48"/>
      <c r="F15" s="4"/>
      <c r="G15" s="48"/>
      <c r="H15" s="48"/>
      <c r="I15" s="4"/>
      <c r="J15" s="42"/>
      <c r="K15" s="42"/>
    </row>
    <row r="16" spans="1:11">
      <c r="A16" s="4"/>
      <c r="B16" s="4"/>
      <c r="C16" s="4"/>
      <c r="D16" s="48"/>
      <c r="E16" s="48"/>
      <c r="F16" s="4"/>
      <c r="G16" s="48"/>
      <c r="H16" s="48"/>
      <c r="I16" s="4"/>
      <c r="J16" s="42"/>
      <c r="K16" s="42"/>
    </row>
    <row r="17" spans="1:11">
      <c r="A17" s="4"/>
      <c r="B17" s="4"/>
      <c r="C17" s="4"/>
      <c r="D17" s="48"/>
      <c r="E17" s="48"/>
      <c r="F17" s="4"/>
      <c r="G17" s="48"/>
      <c r="H17" s="48"/>
      <c r="I17" s="4"/>
      <c r="J17" s="42"/>
      <c r="K17" s="42"/>
    </row>
    <row r="18" spans="1:11">
      <c r="A18" s="4"/>
      <c r="B18" s="4"/>
      <c r="C18" s="4"/>
      <c r="D18" s="48"/>
      <c r="E18" s="48"/>
      <c r="F18" s="4"/>
      <c r="G18" s="48"/>
      <c r="H18" s="48"/>
      <c r="I18" s="4"/>
      <c r="J18" s="42"/>
      <c r="K18" s="42"/>
    </row>
    <row r="19" spans="1:11">
      <c r="A19" s="4"/>
      <c r="B19" s="4"/>
      <c r="C19" s="4"/>
      <c r="D19" s="48"/>
      <c r="E19" s="48"/>
      <c r="F19" s="4"/>
      <c r="G19" s="48"/>
      <c r="H19" s="48"/>
      <c r="I19" s="4"/>
      <c r="J19" s="42"/>
      <c r="K19" s="42"/>
    </row>
    <row r="20" spans="1:11">
      <c r="A20" s="4"/>
      <c r="B20" s="4"/>
      <c r="C20" s="4"/>
      <c r="D20" s="48"/>
      <c r="E20" s="48"/>
      <c r="F20" s="4"/>
      <c r="G20" s="48"/>
      <c r="H20" s="48"/>
      <c r="I20" s="4"/>
      <c r="J20" s="42"/>
      <c r="K20" s="42"/>
    </row>
    <row r="21" spans="1:11">
      <c r="A21" s="4"/>
      <c r="B21" s="4"/>
      <c r="C21" s="4"/>
      <c r="D21" s="48"/>
      <c r="E21" s="48"/>
      <c r="F21" s="4"/>
      <c r="G21" s="48"/>
      <c r="H21" s="48"/>
      <c r="I21" s="4"/>
      <c r="J21" s="42"/>
      <c r="K21" s="42"/>
    </row>
    <row r="22" spans="1:11">
      <c r="A22" s="89"/>
      <c r="B22" s="89"/>
      <c r="C22" s="89"/>
      <c r="D22" s="92"/>
      <c r="E22" s="92"/>
      <c r="F22" s="89"/>
      <c r="G22" s="92"/>
      <c r="H22" s="92"/>
      <c r="I22" s="89">
        <f>I13</f>
        <v>15</v>
      </c>
      <c r="J22" s="90">
        <v>65000</v>
      </c>
      <c r="K22" s="90">
        <f>I22*J22</f>
        <v>975000</v>
      </c>
    </row>
    <row r="27" spans="1:11">
      <c r="A27" t="s">
        <v>135</v>
      </c>
      <c r="B27" t="s">
        <v>136</v>
      </c>
      <c r="D27" s="35"/>
      <c r="E27" s="35"/>
      <c r="G27"/>
      <c r="H27"/>
    </row>
    <row r="28" spans="1:11">
      <c r="A28" s="145" t="s">
        <v>64</v>
      </c>
      <c r="B28" s="145" t="s">
        <v>65</v>
      </c>
      <c r="C28" s="145" t="s">
        <v>128</v>
      </c>
      <c r="D28" s="145"/>
      <c r="E28" s="145"/>
      <c r="F28" s="145" t="s">
        <v>129</v>
      </c>
      <c r="G28" s="145"/>
      <c r="H28" s="145"/>
      <c r="I28" s="145" t="s">
        <v>130</v>
      </c>
      <c r="J28" s="145"/>
      <c r="K28" s="145"/>
    </row>
    <row r="29" spans="1:11">
      <c r="A29" s="145"/>
      <c r="B29" s="145"/>
      <c r="C29" s="40" t="s">
        <v>131</v>
      </c>
      <c r="D29" s="41" t="s">
        <v>132</v>
      </c>
      <c r="E29" s="41" t="s">
        <v>74</v>
      </c>
      <c r="F29" s="40" t="s">
        <v>131</v>
      </c>
      <c r="G29" s="40" t="s">
        <v>132</v>
      </c>
      <c r="H29" s="40" t="s">
        <v>74</v>
      </c>
      <c r="I29" s="40" t="s">
        <v>131</v>
      </c>
      <c r="J29" s="41" t="s">
        <v>132</v>
      </c>
      <c r="K29" s="41" t="s">
        <v>74</v>
      </c>
    </row>
    <row r="30" spans="1:11">
      <c r="A30" s="4" t="s">
        <v>113</v>
      </c>
      <c r="B30" s="4"/>
      <c r="C30" s="4"/>
      <c r="D30" s="42"/>
      <c r="E30" s="42"/>
      <c r="F30" s="4"/>
      <c r="G30" s="29"/>
      <c r="H30" s="4"/>
      <c r="I30" s="4"/>
      <c r="J30" s="42"/>
      <c r="K30" s="42"/>
    </row>
    <row r="31" spans="1:11">
      <c r="A31" s="4">
        <v>1</v>
      </c>
      <c r="B31" s="4"/>
      <c r="C31" s="4"/>
      <c r="D31" s="42"/>
      <c r="E31" s="42"/>
      <c r="F31" s="4"/>
      <c r="G31" s="29"/>
      <c r="H31" s="4"/>
      <c r="I31" s="4">
        <v>40</v>
      </c>
      <c r="J31" s="42">
        <v>117000</v>
      </c>
      <c r="K31" s="42">
        <f t="shared" ref="K31:K37" si="0">I31*J31</f>
        <v>4680000</v>
      </c>
    </row>
    <row r="32" spans="1:11">
      <c r="A32" s="4">
        <v>3</v>
      </c>
      <c r="B32" s="4" t="s">
        <v>77</v>
      </c>
      <c r="C32" s="4"/>
      <c r="D32" s="42"/>
      <c r="E32" s="42"/>
      <c r="F32" s="4">
        <v>15</v>
      </c>
      <c r="G32" s="29">
        <f>J31</f>
        <v>117000</v>
      </c>
      <c r="H32" s="42">
        <f>G32*F32</f>
        <v>1755000</v>
      </c>
      <c r="I32" s="4">
        <f>I31-F32</f>
        <v>25</v>
      </c>
      <c r="J32" s="42">
        <v>117000</v>
      </c>
      <c r="K32" s="42">
        <f t="shared" si="0"/>
        <v>2925000</v>
      </c>
    </row>
    <row r="33" spans="1:14">
      <c r="A33" s="4">
        <v>7</v>
      </c>
      <c r="B33" s="4" t="s">
        <v>137</v>
      </c>
      <c r="C33" s="4"/>
      <c r="D33" s="42"/>
      <c r="E33" s="42"/>
      <c r="F33" s="4">
        <v>25</v>
      </c>
      <c r="G33" s="29">
        <f>J32</f>
        <v>117000</v>
      </c>
      <c r="H33" s="42">
        <f>F33*G33</f>
        <v>2925000</v>
      </c>
      <c r="I33" s="4">
        <f>I32-F33</f>
        <v>0</v>
      </c>
      <c r="J33" s="42">
        <v>117000</v>
      </c>
      <c r="K33" s="42">
        <f t="shared" si="0"/>
        <v>0</v>
      </c>
    </row>
    <row r="34" spans="1:14">
      <c r="A34" s="4">
        <v>9</v>
      </c>
      <c r="B34" s="4" t="s">
        <v>138</v>
      </c>
      <c r="C34" s="4">
        <v>95</v>
      </c>
      <c r="D34" s="42">
        <f>J31</f>
        <v>117000</v>
      </c>
      <c r="E34" s="42">
        <f>C34*D34</f>
        <v>11115000</v>
      </c>
      <c r="F34" s="4"/>
      <c r="G34" s="29"/>
      <c r="H34" s="4"/>
      <c r="I34" s="4">
        <v>95</v>
      </c>
      <c r="J34" s="42">
        <f>J31</f>
        <v>117000</v>
      </c>
      <c r="K34" s="42">
        <f t="shared" si="0"/>
        <v>11115000</v>
      </c>
    </row>
    <row r="35" spans="1:14">
      <c r="A35" s="4">
        <v>15</v>
      </c>
      <c r="B35" s="4" t="s">
        <v>83</v>
      </c>
      <c r="C35" s="4"/>
      <c r="D35" s="42"/>
      <c r="E35" s="42"/>
      <c r="F35" s="4">
        <v>20</v>
      </c>
      <c r="G35" s="29">
        <v>117000</v>
      </c>
      <c r="H35" s="43">
        <f>F35*G35</f>
        <v>2340000</v>
      </c>
      <c r="I35" s="4">
        <f>I34-F35</f>
        <v>75</v>
      </c>
      <c r="J35" s="42">
        <v>117000</v>
      </c>
      <c r="K35" s="42">
        <f t="shared" si="0"/>
        <v>8775000</v>
      </c>
    </row>
    <row r="36" spans="1:14">
      <c r="A36" s="4">
        <v>24</v>
      </c>
      <c r="B36" s="4" t="s">
        <v>103</v>
      </c>
      <c r="C36" s="4"/>
      <c r="D36" s="48"/>
      <c r="E36" s="48"/>
      <c r="F36" s="4">
        <v>30</v>
      </c>
      <c r="G36" s="48">
        <v>117000</v>
      </c>
      <c r="H36" s="48">
        <f>F36*G36</f>
        <v>3510000</v>
      </c>
      <c r="I36" s="4">
        <f>I35-F36</f>
        <v>45</v>
      </c>
      <c r="J36" s="42">
        <v>117000</v>
      </c>
      <c r="K36" s="42">
        <f t="shared" si="0"/>
        <v>5265000</v>
      </c>
    </row>
    <row r="37" spans="1:14">
      <c r="A37" s="4">
        <v>29</v>
      </c>
      <c r="B37" s="4" t="s">
        <v>88</v>
      </c>
      <c r="C37" s="4"/>
      <c r="D37" s="42"/>
      <c r="E37" s="42"/>
      <c r="F37" s="4">
        <v>25</v>
      </c>
      <c r="G37" s="48">
        <v>117000</v>
      </c>
      <c r="H37" s="42">
        <f>F37*G37</f>
        <v>2925000</v>
      </c>
      <c r="I37" s="4">
        <f>I36-F37</f>
        <v>20</v>
      </c>
      <c r="J37" s="42">
        <v>117000</v>
      </c>
      <c r="K37" s="42">
        <f t="shared" si="0"/>
        <v>2340000</v>
      </c>
      <c r="N37" s="35"/>
    </row>
    <row r="38" spans="1:14">
      <c r="A38" s="4"/>
      <c r="B38" s="4"/>
      <c r="C38" s="4"/>
      <c r="D38" s="42"/>
      <c r="E38" s="42"/>
      <c r="F38" s="4"/>
      <c r="G38" s="29"/>
      <c r="H38" s="43"/>
      <c r="I38" s="4"/>
      <c r="J38" s="42"/>
      <c r="K38" s="42"/>
    </row>
    <row r="39" spans="1:14">
      <c r="A39" s="4"/>
      <c r="B39" s="4"/>
      <c r="C39" s="4"/>
      <c r="D39" s="42"/>
      <c r="E39" s="42"/>
      <c r="F39" s="4"/>
      <c r="G39" s="29"/>
      <c r="H39" s="43"/>
      <c r="I39" s="4"/>
      <c r="J39" s="42"/>
      <c r="K39" s="42"/>
    </row>
    <row r="40" spans="1:14">
      <c r="A40" s="4"/>
      <c r="B40" s="4"/>
      <c r="C40" s="4"/>
      <c r="D40" s="42"/>
      <c r="E40" s="42"/>
      <c r="F40" s="4"/>
      <c r="G40" s="29"/>
      <c r="H40" s="4"/>
      <c r="I40" s="4"/>
      <c r="J40" s="42"/>
      <c r="K40" s="42"/>
    </row>
    <row r="41" spans="1:14">
      <c r="A41" s="4"/>
      <c r="B41" s="4"/>
      <c r="C41" s="4"/>
      <c r="D41" s="42"/>
      <c r="E41" s="42"/>
      <c r="F41" s="4"/>
      <c r="G41" s="29"/>
      <c r="H41" s="4"/>
      <c r="I41" s="4"/>
      <c r="J41" s="42"/>
      <c r="K41" s="42"/>
    </row>
    <row r="42" spans="1:14">
      <c r="A42" s="4"/>
      <c r="B42" s="4"/>
      <c r="C42" s="4"/>
      <c r="D42" s="42"/>
      <c r="E42" s="42"/>
      <c r="F42" s="4"/>
      <c r="G42" s="29"/>
      <c r="H42" s="4"/>
      <c r="I42" s="4"/>
      <c r="J42" s="42"/>
      <c r="K42" s="42"/>
    </row>
    <row r="43" spans="1:14">
      <c r="A43" s="89"/>
      <c r="B43" s="89"/>
      <c r="C43" s="89"/>
      <c r="D43" s="90"/>
      <c r="E43" s="90"/>
      <c r="F43" s="89"/>
      <c r="G43" s="91"/>
      <c r="H43" s="89"/>
      <c r="I43" s="89">
        <f>I37</f>
        <v>20</v>
      </c>
      <c r="J43" s="90">
        <v>117000</v>
      </c>
      <c r="K43" s="90">
        <f>I43*J43</f>
        <v>2340000</v>
      </c>
    </row>
  </sheetData>
  <mergeCells count="13">
    <mergeCell ref="A1:K1"/>
    <mergeCell ref="A2:K2"/>
    <mergeCell ref="A3:K3"/>
    <mergeCell ref="C6:E6"/>
    <mergeCell ref="F6:H6"/>
    <mergeCell ref="I6:K6"/>
    <mergeCell ref="C28:E28"/>
    <mergeCell ref="F28:H28"/>
    <mergeCell ref="I28:K28"/>
    <mergeCell ref="A6:A7"/>
    <mergeCell ref="A28:A29"/>
    <mergeCell ref="B6:B7"/>
    <mergeCell ref="B28:B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2"/>
  <sheetViews>
    <sheetView topLeftCell="A18" zoomScale="65" zoomScaleNormal="65" workbookViewId="0">
      <selection activeCell="A26" sqref="A26:K42"/>
    </sheetView>
  </sheetViews>
  <sheetFormatPr defaultColWidth="9" defaultRowHeight="14.5"/>
  <cols>
    <col min="1" max="1" width="9.08984375"/>
    <col min="2" max="2" width="11.7265625" customWidth="1"/>
    <col min="4" max="4" width="17.7265625" style="35" customWidth="1"/>
    <col min="5" max="5" width="19.54296875" style="35" customWidth="1"/>
    <col min="7" max="7" width="18.26953125" customWidth="1"/>
    <col min="8" max="8" width="19.08984375" customWidth="1"/>
    <col min="10" max="10" width="17.7265625" style="35" customWidth="1"/>
    <col min="11" max="11" width="19.453125" style="35" customWidth="1"/>
  </cols>
  <sheetData>
    <row r="1" spans="1:11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1">
      <c r="A2" s="162" t="s">
        <v>126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>
      <c r="A3" s="162"/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1">
      <c r="A4" s="2"/>
      <c r="B4" s="2"/>
      <c r="C4" s="2"/>
      <c r="D4" s="39"/>
      <c r="E4" s="39"/>
      <c r="F4" s="2"/>
    </row>
    <row r="5" spans="1:11">
      <c r="A5" t="s">
        <v>135</v>
      </c>
      <c r="B5" s="123" t="s">
        <v>139</v>
      </c>
    </row>
    <row r="6" spans="1:11">
      <c r="A6" s="145" t="s">
        <v>64</v>
      </c>
      <c r="B6" s="145" t="s">
        <v>65</v>
      </c>
      <c r="C6" s="145" t="s">
        <v>128</v>
      </c>
      <c r="D6" s="145"/>
      <c r="E6" s="145"/>
      <c r="F6" s="145" t="s">
        <v>129</v>
      </c>
      <c r="G6" s="145"/>
      <c r="H6" s="145"/>
      <c r="I6" s="145" t="s">
        <v>130</v>
      </c>
      <c r="J6" s="145"/>
      <c r="K6" s="145"/>
    </row>
    <row r="7" spans="1:11">
      <c r="A7" s="145"/>
      <c r="B7" s="145"/>
      <c r="C7" s="40" t="s">
        <v>131</v>
      </c>
      <c r="D7" s="41" t="s">
        <v>132</v>
      </c>
      <c r="E7" s="41" t="s">
        <v>74</v>
      </c>
      <c r="F7" s="40" t="s">
        <v>131</v>
      </c>
      <c r="G7" s="40" t="s">
        <v>132</v>
      </c>
      <c r="H7" s="40" t="s">
        <v>74</v>
      </c>
      <c r="I7" s="40" t="s">
        <v>131</v>
      </c>
      <c r="J7" s="41" t="s">
        <v>132</v>
      </c>
      <c r="K7" s="41" t="s">
        <v>74</v>
      </c>
    </row>
    <row r="8" spans="1:11">
      <c r="A8" s="4" t="s">
        <v>113</v>
      </c>
      <c r="B8" s="4"/>
      <c r="C8" s="4"/>
      <c r="D8" s="42"/>
      <c r="E8" s="42"/>
      <c r="F8" s="4"/>
      <c r="G8" s="29"/>
      <c r="H8" s="4"/>
      <c r="I8" s="4"/>
      <c r="J8" s="42"/>
      <c r="K8" s="42"/>
    </row>
    <row r="9" spans="1:11">
      <c r="A9" s="4">
        <v>1</v>
      </c>
      <c r="B9" s="4"/>
      <c r="C9" s="4"/>
      <c r="D9" s="42"/>
      <c r="E9" s="42"/>
      <c r="F9" s="4"/>
      <c r="G9" s="29"/>
      <c r="H9" s="4"/>
      <c r="I9" s="4">
        <v>23</v>
      </c>
      <c r="J9" s="42">
        <v>34500</v>
      </c>
      <c r="K9" s="42">
        <f>I9*J9</f>
        <v>793500</v>
      </c>
    </row>
    <row r="10" spans="1:11">
      <c r="A10" s="4">
        <v>2</v>
      </c>
      <c r="B10" s="4">
        <v>1444</v>
      </c>
      <c r="C10" s="4">
        <v>80</v>
      </c>
      <c r="D10" s="42">
        <v>34500</v>
      </c>
      <c r="E10" s="42">
        <f>D10*C10</f>
        <v>2760000</v>
      </c>
      <c r="F10" s="4"/>
      <c r="G10" s="29"/>
      <c r="H10" s="4"/>
      <c r="I10" s="4">
        <v>23</v>
      </c>
      <c r="J10" s="42">
        <f>J9</f>
        <v>34500</v>
      </c>
      <c r="K10" s="42">
        <f>K9</f>
        <v>793500</v>
      </c>
    </row>
    <row r="11" spans="1:11">
      <c r="A11" s="4"/>
      <c r="B11" s="4"/>
      <c r="C11" s="4"/>
      <c r="D11" s="42"/>
      <c r="E11" s="42"/>
      <c r="F11" s="4"/>
      <c r="G11" s="29"/>
      <c r="H11" s="4"/>
      <c r="I11" s="4">
        <v>80</v>
      </c>
      <c r="J11" s="42">
        <f>D10</f>
        <v>34500</v>
      </c>
      <c r="K11" s="42">
        <f>J11*I11</f>
        <v>2760000</v>
      </c>
    </row>
    <row r="12" spans="1:11">
      <c r="A12" s="4">
        <v>7</v>
      </c>
      <c r="B12" s="4" t="s">
        <v>137</v>
      </c>
      <c r="C12" s="4"/>
      <c r="D12" s="42"/>
      <c r="E12" s="42"/>
      <c r="F12" s="4">
        <v>23</v>
      </c>
      <c r="G12" s="29">
        <f>J10</f>
        <v>34500</v>
      </c>
      <c r="H12" s="29">
        <f>F12*G12</f>
        <v>793500</v>
      </c>
      <c r="I12" s="4">
        <f>I11</f>
        <v>80</v>
      </c>
      <c r="J12" s="42">
        <v>34500</v>
      </c>
      <c r="K12" s="42">
        <f>I12*J12</f>
        <v>2760000</v>
      </c>
    </row>
    <row r="13" spans="1:11">
      <c r="A13" s="4"/>
      <c r="B13" s="4"/>
      <c r="C13" s="4"/>
      <c r="D13" s="42"/>
      <c r="E13" s="42"/>
      <c r="F13" s="4">
        <v>7</v>
      </c>
      <c r="G13" s="29">
        <v>34500</v>
      </c>
      <c r="H13" s="43">
        <f>F13*G13</f>
        <v>241500</v>
      </c>
      <c r="I13" s="7">
        <f>I12-F13</f>
        <v>73</v>
      </c>
      <c r="J13" s="38">
        <v>34500</v>
      </c>
      <c r="K13" s="38">
        <f>I13*J13</f>
        <v>2518500</v>
      </c>
    </row>
    <row r="14" spans="1:11">
      <c r="A14" s="4">
        <v>15</v>
      </c>
      <c r="B14" s="4">
        <v>21434</v>
      </c>
      <c r="C14" s="4"/>
      <c r="D14" s="42"/>
      <c r="E14" s="42"/>
      <c r="F14" s="4">
        <v>25</v>
      </c>
      <c r="G14" s="29">
        <v>34500</v>
      </c>
      <c r="H14" s="43">
        <f>F14*G14</f>
        <v>862500</v>
      </c>
      <c r="I14" s="4">
        <f>I13-F14</f>
        <v>48</v>
      </c>
      <c r="J14" s="42">
        <f>J11</f>
        <v>34500</v>
      </c>
      <c r="K14" s="42">
        <f>I14*J14</f>
        <v>1656000</v>
      </c>
    </row>
    <row r="15" spans="1:11">
      <c r="A15" s="4">
        <v>24</v>
      </c>
      <c r="B15" s="4" t="s">
        <v>103</v>
      </c>
      <c r="C15" s="4"/>
      <c r="D15" s="42"/>
      <c r="E15" s="42"/>
      <c r="F15" s="4">
        <v>40</v>
      </c>
      <c r="G15" s="29">
        <v>34500</v>
      </c>
      <c r="H15" s="43">
        <f>F15*G15</f>
        <v>1380000</v>
      </c>
      <c r="I15" s="4">
        <f>I14-F15</f>
        <v>8</v>
      </c>
      <c r="J15" s="42">
        <f>J12</f>
        <v>34500</v>
      </c>
      <c r="K15" s="42">
        <f>I15*J15</f>
        <v>276000</v>
      </c>
    </row>
    <row r="16" spans="1:11">
      <c r="A16" s="4"/>
      <c r="B16" s="4"/>
      <c r="C16" s="4"/>
      <c r="D16" s="42"/>
      <c r="E16" s="42"/>
      <c r="F16" s="4"/>
      <c r="G16" s="29"/>
      <c r="H16" s="43"/>
      <c r="I16" s="4"/>
      <c r="J16" s="42"/>
      <c r="K16" s="42"/>
    </row>
    <row r="17" spans="1:11">
      <c r="A17" s="5"/>
      <c r="B17" s="5"/>
      <c r="C17" s="5"/>
      <c r="D17" s="38"/>
      <c r="E17" s="38"/>
      <c r="F17" s="5"/>
      <c r="G17" s="5"/>
      <c r="H17" s="5"/>
      <c r="I17" s="5"/>
      <c r="J17" s="38"/>
      <c r="K17" s="38"/>
    </row>
    <row r="18" spans="1:11">
      <c r="A18" s="4"/>
      <c r="B18" s="4"/>
      <c r="C18" s="4"/>
      <c r="D18" s="42"/>
      <c r="E18" s="42"/>
      <c r="F18" s="4"/>
      <c r="G18" s="29"/>
      <c r="H18" s="4"/>
      <c r="I18" s="4"/>
      <c r="J18" s="42"/>
      <c r="K18" s="42"/>
    </row>
    <row r="19" spans="1:11">
      <c r="A19" s="4"/>
      <c r="B19" s="4"/>
      <c r="C19" s="4"/>
      <c r="D19" s="42"/>
      <c r="E19" s="42"/>
      <c r="F19" s="4"/>
      <c r="G19" s="29"/>
      <c r="H19" s="4"/>
      <c r="I19" s="4"/>
      <c r="J19" s="42"/>
      <c r="K19" s="42"/>
    </row>
    <row r="20" spans="1:11">
      <c r="A20" s="4"/>
      <c r="B20" s="4"/>
      <c r="C20" s="4"/>
      <c r="D20" s="42"/>
      <c r="E20" s="42"/>
      <c r="F20" s="4"/>
      <c r="G20" s="29"/>
      <c r="H20" s="4"/>
      <c r="I20" s="4"/>
      <c r="J20" s="42"/>
      <c r="K20" s="42"/>
    </row>
    <row r="21" spans="1:11">
      <c r="A21" s="89"/>
      <c r="B21" s="89"/>
      <c r="C21" s="89"/>
      <c r="D21" s="90"/>
      <c r="E21" s="90"/>
      <c r="F21" s="89"/>
      <c r="G21" s="91"/>
      <c r="H21" s="89"/>
      <c r="I21" s="89">
        <v>8</v>
      </c>
      <c r="J21" s="90">
        <v>34500</v>
      </c>
      <c r="K21" s="90">
        <f>I21*J21</f>
        <v>276000</v>
      </c>
    </row>
    <row r="25" spans="1:11">
      <c r="A25" t="s">
        <v>135</v>
      </c>
      <c r="B25" t="s">
        <v>140</v>
      </c>
      <c r="D25"/>
      <c r="E25"/>
    </row>
    <row r="26" spans="1:11">
      <c r="A26" s="145" t="s">
        <v>64</v>
      </c>
      <c r="B26" s="145" t="s">
        <v>65</v>
      </c>
      <c r="C26" s="145" t="s">
        <v>128</v>
      </c>
      <c r="D26" s="145"/>
      <c r="E26" s="145"/>
      <c r="F26" s="145" t="s">
        <v>129</v>
      </c>
      <c r="G26" s="145"/>
      <c r="H26" s="145"/>
      <c r="I26" s="145" t="s">
        <v>130</v>
      </c>
      <c r="J26" s="145"/>
      <c r="K26" s="145"/>
    </row>
    <row r="27" spans="1:11">
      <c r="A27" s="145"/>
      <c r="B27" s="145"/>
      <c r="C27" s="40" t="s">
        <v>131</v>
      </c>
      <c r="D27" s="40" t="s">
        <v>132</v>
      </c>
      <c r="E27" s="40" t="s">
        <v>74</v>
      </c>
      <c r="F27" s="40" t="s">
        <v>131</v>
      </c>
      <c r="G27" s="40" t="s">
        <v>132</v>
      </c>
      <c r="H27" s="40" t="s">
        <v>74</v>
      </c>
      <c r="I27" s="40" t="s">
        <v>131</v>
      </c>
      <c r="J27" s="41" t="s">
        <v>132</v>
      </c>
      <c r="K27" s="41" t="s">
        <v>74</v>
      </c>
    </row>
    <row r="28" spans="1:11">
      <c r="A28" s="9" t="s">
        <v>113</v>
      </c>
      <c r="B28" s="9"/>
      <c r="C28" s="9"/>
      <c r="D28" s="44"/>
      <c r="E28" s="44"/>
      <c r="F28" s="9"/>
      <c r="G28" s="9"/>
      <c r="H28" s="9"/>
      <c r="I28" s="9"/>
      <c r="J28" s="36"/>
      <c r="K28" s="36"/>
    </row>
    <row r="29" spans="1:11">
      <c r="A29" s="4">
        <v>1</v>
      </c>
      <c r="B29" s="9"/>
      <c r="C29" s="4"/>
      <c r="D29" s="29"/>
      <c r="E29" s="29"/>
      <c r="F29" s="4"/>
      <c r="G29" s="4"/>
      <c r="H29" s="4"/>
      <c r="I29" s="4">
        <v>35</v>
      </c>
      <c r="J29" s="42">
        <v>17000</v>
      </c>
      <c r="K29" s="42">
        <f t="shared" ref="K29:K35" si="0">I29*J29</f>
        <v>595000</v>
      </c>
    </row>
    <row r="30" spans="1:11">
      <c r="A30" s="4">
        <v>3</v>
      </c>
      <c r="B30" s="9" t="s">
        <v>77</v>
      </c>
      <c r="C30" s="4"/>
      <c r="D30" s="29"/>
      <c r="E30" s="29"/>
      <c r="F30" s="4">
        <v>35</v>
      </c>
      <c r="G30" s="42">
        <v>17000</v>
      </c>
      <c r="H30" s="42">
        <f>F30*G30</f>
        <v>595000</v>
      </c>
      <c r="I30" s="4">
        <v>0</v>
      </c>
      <c r="J30" s="42">
        <v>17000</v>
      </c>
      <c r="K30" s="42">
        <f t="shared" si="0"/>
        <v>0</v>
      </c>
    </row>
    <row r="31" spans="1:11">
      <c r="A31" s="4">
        <v>8</v>
      </c>
      <c r="B31" s="9">
        <v>6825</v>
      </c>
      <c r="C31" s="4">
        <v>90</v>
      </c>
      <c r="D31" s="29">
        <f>J29</f>
        <v>17000</v>
      </c>
      <c r="E31" s="29">
        <f>C31*D31</f>
        <v>1530000</v>
      </c>
      <c r="F31" s="4"/>
      <c r="G31" s="4"/>
      <c r="H31" s="4"/>
      <c r="I31" s="4">
        <f>I30+C31</f>
        <v>90</v>
      </c>
      <c r="J31" s="42">
        <v>17000</v>
      </c>
      <c r="K31" s="42">
        <f t="shared" si="0"/>
        <v>1530000</v>
      </c>
    </row>
    <row r="32" spans="1:11">
      <c r="A32" s="4">
        <v>15</v>
      </c>
      <c r="B32" s="9" t="s">
        <v>83</v>
      </c>
      <c r="C32" s="5"/>
      <c r="D32" s="38"/>
      <c r="E32" s="38"/>
      <c r="F32" s="4">
        <v>40</v>
      </c>
      <c r="G32" s="10">
        <v>17000</v>
      </c>
      <c r="H32" s="6">
        <f>F32*G32</f>
        <v>680000</v>
      </c>
      <c r="I32" s="4">
        <f>I31-F32</f>
        <v>50</v>
      </c>
      <c r="J32" s="38">
        <v>17000</v>
      </c>
      <c r="K32" s="38">
        <f t="shared" si="0"/>
        <v>850000</v>
      </c>
    </row>
    <row r="33" spans="1:11">
      <c r="A33" s="4">
        <v>22</v>
      </c>
      <c r="B33" s="9" t="s">
        <v>122</v>
      </c>
      <c r="C33" s="4">
        <v>-5</v>
      </c>
      <c r="D33" s="29">
        <v>17500</v>
      </c>
      <c r="E33" s="29">
        <f>C33*D33</f>
        <v>-87500</v>
      </c>
      <c r="F33" s="4"/>
      <c r="G33" s="4"/>
      <c r="H33" s="4"/>
      <c r="I33" s="4">
        <f>I32+C33</f>
        <v>45</v>
      </c>
      <c r="J33" s="42">
        <v>17000</v>
      </c>
      <c r="K33" s="42">
        <f t="shared" si="0"/>
        <v>765000</v>
      </c>
    </row>
    <row r="34" spans="1:11">
      <c r="A34" s="4">
        <v>24</v>
      </c>
      <c r="B34" s="9" t="s">
        <v>103</v>
      </c>
      <c r="C34" s="4"/>
      <c r="D34" s="29"/>
      <c r="E34" s="29"/>
      <c r="F34" s="4">
        <v>10</v>
      </c>
      <c r="G34" s="29">
        <v>17000</v>
      </c>
      <c r="H34" s="29">
        <f>F34*G34</f>
        <v>170000</v>
      </c>
      <c r="I34" s="4">
        <f>I33-F34</f>
        <v>35</v>
      </c>
      <c r="J34" s="42">
        <v>17000</v>
      </c>
      <c r="K34" s="10">
        <f t="shared" si="0"/>
        <v>595000</v>
      </c>
    </row>
    <row r="35" spans="1:11">
      <c r="A35" s="4">
        <v>29</v>
      </c>
      <c r="B35" s="4" t="s">
        <v>88</v>
      </c>
      <c r="C35" s="4"/>
      <c r="D35" s="29"/>
      <c r="E35" s="29"/>
      <c r="F35" s="4">
        <v>20</v>
      </c>
      <c r="G35" s="29">
        <v>17000</v>
      </c>
      <c r="H35" s="43">
        <f>F35*G35</f>
        <v>340000</v>
      </c>
      <c r="I35" s="4">
        <f>I34-F35</f>
        <v>15</v>
      </c>
      <c r="J35" s="42">
        <v>17000</v>
      </c>
      <c r="K35" s="42">
        <f t="shared" si="0"/>
        <v>255000</v>
      </c>
    </row>
    <row r="36" spans="1:11">
      <c r="A36" s="4"/>
      <c r="B36" s="4"/>
      <c r="C36" s="4"/>
      <c r="D36" s="29"/>
      <c r="E36" s="29"/>
      <c r="F36" s="4"/>
      <c r="G36" s="4"/>
      <c r="H36" s="4"/>
      <c r="I36" s="4"/>
      <c r="J36" s="42"/>
      <c r="K36" s="42"/>
    </row>
    <row r="37" spans="1:11">
      <c r="A37" s="4"/>
      <c r="B37" s="4"/>
      <c r="C37" s="4"/>
      <c r="D37" s="29"/>
      <c r="E37" s="29"/>
      <c r="F37" s="4"/>
      <c r="G37" s="4"/>
      <c r="H37" s="4"/>
      <c r="I37" s="4"/>
      <c r="J37" s="42"/>
      <c r="K37" s="42"/>
    </row>
    <row r="38" spans="1:11">
      <c r="A38" s="4"/>
      <c r="B38" s="4"/>
      <c r="C38" s="4"/>
      <c r="D38" s="29"/>
      <c r="E38" s="29"/>
      <c r="F38" s="4"/>
      <c r="G38" s="4"/>
      <c r="H38" s="4"/>
      <c r="I38" s="4"/>
      <c r="J38" s="42"/>
      <c r="K38" s="42"/>
    </row>
    <row r="39" spans="1:11">
      <c r="A39" s="4"/>
      <c r="B39" s="4"/>
      <c r="C39" s="4"/>
      <c r="D39" s="29"/>
      <c r="E39" s="29"/>
      <c r="F39" s="4"/>
      <c r="G39" s="4"/>
      <c r="H39" s="4"/>
      <c r="I39" s="4"/>
      <c r="J39" s="42"/>
      <c r="K39" s="42"/>
    </row>
    <row r="40" spans="1:11">
      <c r="A40" s="4"/>
      <c r="B40" s="4"/>
      <c r="C40" s="4"/>
      <c r="D40" s="29"/>
      <c r="E40" s="29"/>
      <c r="F40" s="4"/>
      <c r="G40" s="4"/>
      <c r="H40" s="4"/>
      <c r="I40" s="4"/>
      <c r="J40" s="42"/>
      <c r="K40" s="42"/>
    </row>
    <row r="41" spans="1:11">
      <c r="A41" s="4"/>
      <c r="B41" s="4"/>
      <c r="C41" s="4"/>
      <c r="D41" s="29"/>
      <c r="E41" s="29"/>
      <c r="F41" s="4"/>
      <c r="G41" s="4"/>
      <c r="H41" s="4"/>
      <c r="I41" s="4"/>
      <c r="J41" s="42"/>
      <c r="K41" s="42"/>
    </row>
    <row r="42" spans="1:11">
      <c r="A42" s="89"/>
      <c r="B42" s="89"/>
      <c r="C42" s="89"/>
      <c r="D42" s="91"/>
      <c r="E42" s="91"/>
      <c r="F42" s="89"/>
      <c r="G42" s="89"/>
      <c r="H42" s="89"/>
      <c r="I42" s="89">
        <f>I35</f>
        <v>15</v>
      </c>
      <c r="J42" s="90">
        <v>17000</v>
      </c>
      <c r="K42" s="90">
        <f>I42*J42</f>
        <v>255000</v>
      </c>
    </row>
  </sheetData>
  <mergeCells count="13">
    <mergeCell ref="A1:K1"/>
    <mergeCell ref="A2:K2"/>
    <mergeCell ref="A3:K3"/>
    <mergeCell ref="C6:E6"/>
    <mergeCell ref="F6:H6"/>
    <mergeCell ref="I6:K6"/>
    <mergeCell ref="C26:E26"/>
    <mergeCell ref="F26:H26"/>
    <mergeCell ref="I26:K26"/>
    <mergeCell ref="A6:A7"/>
    <mergeCell ref="A26:A27"/>
    <mergeCell ref="B6:B7"/>
    <mergeCell ref="B26:B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3"/>
  <sheetViews>
    <sheetView topLeftCell="A76" zoomScale="82" zoomScaleNormal="82" workbookViewId="0">
      <selection activeCell="A5" sqref="A5:G63"/>
    </sheetView>
  </sheetViews>
  <sheetFormatPr defaultColWidth="9" defaultRowHeight="14.5"/>
  <cols>
    <col min="2" max="2" width="26.81640625" customWidth="1"/>
    <col min="4" max="4" width="16.26953125" style="35" customWidth="1"/>
    <col min="5" max="5" width="17.7265625" style="1" customWidth="1"/>
    <col min="6" max="6" width="17.26953125" style="35" customWidth="1"/>
    <col min="7" max="7" width="19.26953125" style="35" customWidth="1"/>
  </cols>
  <sheetData>
    <row r="1" spans="1:7">
      <c r="A1" s="162"/>
      <c r="B1" s="162"/>
      <c r="C1" s="162"/>
      <c r="D1" s="162"/>
      <c r="E1" s="162"/>
      <c r="F1" s="162"/>
      <c r="G1" s="162"/>
    </row>
    <row r="2" spans="1:7">
      <c r="A2" s="162" t="s">
        <v>152</v>
      </c>
      <c r="B2" s="162"/>
      <c r="C2" s="162"/>
      <c r="D2" s="162"/>
      <c r="E2" s="162"/>
      <c r="F2" s="162"/>
      <c r="G2" s="162"/>
    </row>
    <row r="3" spans="1:7">
      <c r="A3" s="162"/>
      <c r="B3" s="162"/>
      <c r="C3" s="162"/>
      <c r="D3" s="162"/>
      <c r="E3" s="162"/>
      <c r="F3" s="162"/>
      <c r="G3" s="162"/>
    </row>
    <row r="5" spans="1:7" ht="15.5">
      <c r="A5" s="124" t="s">
        <v>153</v>
      </c>
      <c r="B5" s="124" t="s">
        <v>154</v>
      </c>
      <c r="C5" s="124"/>
      <c r="D5" s="125"/>
      <c r="E5" s="126"/>
      <c r="F5" s="125"/>
      <c r="G5" s="125"/>
    </row>
    <row r="6" spans="1:7" ht="15.5">
      <c r="A6" s="124" t="s">
        <v>144</v>
      </c>
      <c r="B6" s="124" t="s">
        <v>155</v>
      </c>
      <c r="C6" s="124"/>
      <c r="D6" s="125"/>
      <c r="E6" s="126"/>
      <c r="F6" s="125"/>
      <c r="G6" s="125"/>
    </row>
    <row r="7" spans="1:7" ht="15.5">
      <c r="A7" s="124"/>
      <c r="B7" s="124"/>
      <c r="C7" s="124"/>
      <c r="D7" s="125"/>
      <c r="E7" s="126"/>
      <c r="F7" s="125"/>
      <c r="G7" s="125"/>
    </row>
    <row r="8" spans="1:7" ht="15.5">
      <c r="A8" s="118" t="s">
        <v>64</v>
      </c>
      <c r="B8" s="118" t="s">
        <v>66</v>
      </c>
      <c r="C8" s="118" t="s">
        <v>67</v>
      </c>
      <c r="D8" s="127" t="s">
        <v>68</v>
      </c>
      <c r="E8" s="128" t="s">
        <v>69</v>
      </c>
      <c r="F8" s="127" t="s">
        <v>130</v>
      </c>
      <c r="G8" s="127"/>
    </row>
    <row r="9" spans="1:7" ht="15.5">
      <c r="A9" s="118" t="s">
        <v>113</v>
      </c>
      <c r="B9" s="118"/>
      <c r="C9" s="118"/>
      <c r="D9" s="127"/>
      <c r="E9" s="128"/>
      <c r="F9" s="127" t="s">
        <v>68</v>
      </c>
      <c r="G9" s="127" t="s">
        <v>69</v>
      </c>
    </row>
    <row r="10" spans="1:7" ht="15.5">
      <c r="A10" s="113">
        <v>1</v>
      </c>
      <c r="B10" s="113" t="s">
        <v>146</v>
      </c>
      <c r="C10" s="129" t="s">
        <v>147</v>
      </c>
      <c r="D10" s="130"/>
      <c r="E10" s="131"/>
      <c r="F10" s="130"/>
      <c r="G10" s="130">
        <v>2442000</v>
      </c>
    </row>
    <row r="11" spans="1:7" ht="15.5">
      <c r="A11" s="113">
        <v>6</v>
      </c>
      <c r="B11" s="113" t="s">
        <v>156</v>
      </c>
      <c r="C11" s="111"/>
      <c r="D11" s="130"/>
      <c r="E11" s="131">
        <f>PJ!I10</f>
        <v>3857500</v>
      </c>
      <c r="F11" s="130"/>
      <c r="G11" s="130">
        <f>G10+E11</f>
        <v>6299500</v>
      </c>
    </row>
    <row r="12" spans="1:7" ht="15.5">
      <c r="A12" s="113">
        <v>13</v>
      </c>
      <c r="B12" s="113" t="s">
        <v>157</v>
      </c>
      <c r="C12" s="111"/>
      <c r="D12" s="130">
        <v>2442000</v>
      </c>
      <c r="E12" s="131"/>
      <c r="F12" s="130"/>
      <c r="G12" s="130">
        <f>G11-D12</f>
        <v>3857500</v>
      </c>
    </row>
    <row r="13" spans="1:7" ht="15.5">
      <c r="A13" s="113"/>
      <c r="B13" s="113"/>
      <c r="C13" s="111"/>
      <c r="D13" s="130"/>
      <c r="E13" s="131"/>
      <c r="F13" s="130"/>
      <c r="G13" s="130"/>
    </row>
    <row r="14" spans="1:7" ht="15.5">
      <c r="A14" s="113"/>
      <c r="B14" s="113"/>
      <c r="C14" s="111"/>
      <c r="D14" s="130"/>
      <c r="E14" s="131"/>
      <c r="F14" s="130"/>
      <c r="G14" s="130"/>
    </row>
    <row r="15" spans="1:7" ht="15.5">
      <c r="A15" s="113"/>
      <c r="B15" s="113"/>
      <c r="C15" s="111"/>
      <c r="D15" s="130"/>
      <c r="E15" s="131"/>
      <c r="F15" s="130"/>
      <c r="G15" s="130"/>
    </row>
    <row r="16" spans="1:7" ht="15.5">
      <c r="A16" s="113"/>
      <c r="B16" s="113"/>
      <c r="C16" s="111"/>
      <c r="D16" s="130"/>
      <c r="E16" s="131"/>
      <c r="F16" s="130"/>
      <c r="G16" s="130"/>
    </row>
    <row r="17" spans="1:7" ht="15.5">
      <c r="A17" s="113"/>
      <c r="B17" s="113"/>
      <c r="C17" s="111"/>
      <c r="D17" s="130"/>
      <c r="E17" s="131"/>
      <c r="F17" s="130"/>
      <c r="G17" s="130"/>
    </row>
    <row r="18" spans="1:7" ht="15.5">
      <c r="A18" s="124"/>
      <c r="B18" s="124"/>
      <c r="C18" s="132"/>
      <c r="D18" s="125"/>
      <c r="E18" s="126"/>
      <c r="F18" s="125"/>
      <c r="G18" s="125"/>
    </row>
    <row r="19" spans="1:7" ht="15.5">
      <c r="A19" s="124"/>
      <c r="B19" s="124"/>
      <c r="C19" s="132"/>
      <c r="D19" s="125"/>
      <c r="E19" s="126"/>
      <c r="F19" s="125"/>
      <c r="G19" s="125"/>
    </row>
    <row r="20" spans="1:7" ht="15.5">
      <c r="A20" s="124" t="s">
        <v>153</v>
      </c>
      <c r="B20" s="124" t="s">
        <v>158</v>
      </c>
      <c r="C20" s="132"/>
      <c r="D20" s="125"/>
      <c r="E20" s="126"/>
      <c r="F20" s="125"/>
      <c r="G20" s="125"/>
    </row>
    <row r="21" spans="1:7" ht="15.5">
      <c r="A21" s="124" t="s">
        <v>144</v>
      </c>
      <c r="B21" s="124" t="s">
        <v>159</v>
      </c>
      <c r="C21" s="132"/>
      <c r="D21" s="125"/>
      <c r="E21" s="126"/>
      <c r="F21" s="125"/>
      <c r="G21" s="125"/>
    </row>
    <row r="22" spans="1:7" ht="15.5">
      <c r="A22" s="124"/>
      <c r="B22" s="124"/>
      <c r="C22" s="132"/>
      <c r="D22" s="125"/>
      <c r="E22" s="126"/>
      <c r="F22" s="125"/>
      <c r="G22" s="125"/>
    </row>
    <row r="23" spans="1:7" ht="15.5">
      <c r="A23" s="118" t="s">
        <v>64</v>
      </c>
      <c r="B23" s="118" t="s">
        <v>66</v>
      </c>
      <c r="C23" s="118" t="s">
        <v>67</v>
      </c>
      <c r="D23" s="127" t="s">
        <v>68</v>
      </c>
      <c r="E23" s="128" t="s">
        <v>69</v>
      </c>
      <c r="F23" s="127" t="s">
        <v>130</v>
      </c>
      <c r="G23" s="127"/>
    </row>
    <row r="24" spans="1:7" ht="15.5">
      <c r="A24" s="118" t="s">
        <v>113</v>
      </c>
      <c r="B24" s="118"/>
      <c r="C24" s="118"/>
      <c r="D24" s="127"/>
      <c r="E24" s="128"/>
      <c r="F24" s="127" t="s">
        <v>68</v>
      </c>
      <c r="G24" s="127" t="s">
        <v>69</v>
      </c>
    </row>
    <row r="25" spans="1:7" ht="15.5">
      <c r="A25" s="113">
        <v>1</v>
      </c>
      <c r="B25" s="113" t="s">
        <v>146</v>
      </c>
      <c r="C25" s="129" t="s">
        <v>147</v>
      </c>
      <c r="D25" s="130"/>
      <c r="E25" s="131"/>
      <c r="F25" s="130"/>
      <c r="G25" s="130">
        <v>3885000</v>
      </c>
    </row>
    <row r="26" spans="1:7" ht="15.5">
      <c r="A26" s="113">
        <v>2</v>
      </c>
      <c r="B26" s="113" t="s">
        <v>156</v>
      </c>
      <c r="C26" s="111"/>
      <c r="D26" s="130"/>
      <c r="E26" s="131">
        <v>2760000</v>
      </c>
      <c r="F26" s="130"/>
      <c r="G26" s="130">
        <f>G25+E26</f>
        <v>6645000</v>
      </c>
    </row>
    <row r="27" spans="1:7" ht="15.5">
      <c r="A27" s="113"/>
      <c r="B27" s="113"/>
      <c r="C27" s="111"/>
      <c r="D27" s="130"/>
      <c r="E27" s="131"/>
      <c r="F27" s="130"/>
      <c r="G27" s="130"/>
    </row>
    <row r="28" spans="1:7" ht="15.5">
      <c r="A28" s="113"/>
      <c r="B28" s="113"/>
      <c r="C28" s="111"/>
      <c r="D28" s="130"/>
      <c r="E28" s="131"/>
      <c r="F28" s="130"/>
      <c r="G28" s="130"/>
    </row>
    <row r="29" spans="1:7" ht="15.5">
      <c r="A29" s="113"/>
      <c r="B29" s="113"/>
      <c r="C29" s="111"/>
      <c r="D29" s="130"/>
      <c r="E29" s="131"/>
      <c r="F29" s="130"/>
      <c r="G29" s="130"/>
    </row>
    <row r="30" spans="1:7" ht="15.5">
      <c r="A30" s="113"/>
      <c r="B30" s="113"/>
      <c r="C30" s="111"/>
      <c r="D30" s="130"/>
      <c r="E30" s="131"/>
      <c r="F30" s="130"/>
      <c r="G30" s="130"/>
    </row>
    <row r="31" spans="1:7" ht="15.5">
      <c r="A31" s="113"/>
      <c r="B31" s="113"/>
      <c r="C31" s="111"/>
      <c r="D31" s="130"/>
      <c r="E31" s="131"/>
      <c r="F31" s="130"/>
      <c r="G31" s="130"/>
    </row>
    <row r="32" spans="1:7" ht="15.5">
      <c r="A32" s="113"/>
      <c r="B32" s="113"/>
      <c r="C32" s="111"/>
      <c r="D32" s="130"/>
      <c r="E32" s="131"/>
      <c r="F32" s="130"/>
      <c r="G32" s="130"/>
    </row>
    <row r="33" spans="1:7" ht="15.5">
      <c r="A33" s="124"/>
      <c r="B33" s="124"/>
      <c r="C33" s="132"/>
      <c r="D33" s="125"/>
      <c r="E33" s="126"/>
      <c r="F33" s="125"/>
      <c r="G33" s="125"/>
    </row>
    <row r="34" spans="1:7" ht="15.5">
      <c r="A34" s="124"/>
      <c r="B34" s="124"/>
      <c r="C34" s="132"/>
      <c r="D34" s="125"/>
      <c r="E34" s="126"/>
      <c r="F34" s="125"/>
      <c r="G34" s="125"/>
    </row>
    <row r="35" spans="1:7" ht="15.5">
      <c r="A35" s="124" t="s">
        <v>153</v>
      </c>
      <c r="B35" s="124" t="s">
        <v>160</v>
      </c>
      <c r="C35" s="132"/>
      <c r="D35" s="125"/>
      <c r="E35" s="126"/>
      <c r="F35" s="125"/>
      <c r="G35" s="125"/>
    </row>
    <row r="36" spans="1:7" ht="15.5">
      <c r="A36" s="124" t="s">
        <v>144</v>
      </c>
      <c r="B36" s="124" t="s">
        <v>161</v>
      </c>
      <c r="C36" s="132"/>
      <c r="D36" s="125"/>
      <c r="E36" s="126"/>
      <c r="F36" s="125"/>
      <c r="G36" s="125"/>
    </row>
    <row r="37" spans="1:7" ht="15.5">
      <c r="A37" s="124"/>
      <c r="B37" s="124"/>
      <c r="C37" s="132"/>
      <c r="D37" s="125"/>
      <c r="E37" s="126"/>
      <c r="F37" s="125"/>
      <c r="G37" s="125"/>
    </row>
    <row r="38" spans="1:7" ht="15.5">
      <c r="A38" s="157" t="s">
        <v>64</v>
      </c>
      <c r="B38" s="157" t="s">
        <v>66</v>
      </c>
      <c r="C38" s="157" t="s">
        <v>67</v>
      </c>
      <c r="D38" s="166" t="s">
        <v>68</v>
      </c>
      <c r="E38" s="167" t="s">
        <v>69</v>
      </c>
      <c r="F38" s="166" t="s">
        <v>130</v>
      </c>
      <c r="G38" s="166"/>
    </row>
    <row r="39" spans="1:7" ht="15.5">
      <c r="A39" s="157"/>
      <c r="B39" s="157"/>
      <c r="C39" s="157"/>
      <c r="D39" s="166"/>
      <c r="E39" s="167"/>
      <c r="F39" s="127" t="s">
        <v>68</v>
      </c>
      <c r="G39" s="127" t="s">
        <v>69</v>
      </c>
    </row>
    <row r="40" spans="1:7" ht="15.5">
      <c r="A40" s="118" t="s">
        <v>113</v>
      </c>
      <c r="B40" s="118"/>
      <c r="C40" s="118"/>
      <c r="D40" s="127"/>
      <c r="E40" s="128"/>
      <c r="F40" s="127"/>
      <c r="G40" s="127"/>
    </row>
    <row r="41" spans="1:7" ht="15.5">
      <c r="A41" s="113">
        <v>1</v>
      </c>
      <c r="B41" s="113" t="s">
        <v>146</v>
      </c>
      <c r="C41" s="129" t="s">
        <v>147</v>
      </c>
      <c r="D41" s="130"/>
      <c r="E41" s="131"/>
      <c r="F41" s="130"/>
      <c r="G41" s="130">
        <v>2553000</v>
      </c>
    </row>
    <row r="42" spans="1:7" ht="15.5">
      <c r="A42" s="113">
        <v>8</v>
      </c>
      <c r="B42" s="113" t="s">
        <v>156</v>
      </c>
      <c r="C42" s="124"/>
      <c r="D42" s="130"/>
      <c r="E42" s="131">
        <f>PJ!I11</f>
        <v>1998300</v>
      </c>
      <c r="F42" s="130"/>
      <c r="G42" s="130">
        <f>G41+E42</f>
        <v>4551300</v>
      </c>
    </row>
    <row r="43" spans="1:7" ht="15.5">
      <c r="A43" s="113">
        <v>22</v>
      </c>
      <c r="B43" s="113" t="s">
        <v>162</v>
      </c>
      <c r="C43" s="111"/>
      <c r="D43" s="130">
        <v>94350</v>
      </c>
      <c r="E43" s="131"/>
      <c r="F43" s="130"/>
      <c r="G43" s="130">
        <f>G42-D43</f>
        <v>4456950</v>
      </c>
    </row>
    <row r="44" spans="1:7" ht="15.5">
      <c r="A44" s="113"/>
      <c r="B44" s="113"/>
      <c r="C44" s="111"/>
      <c r="D44" s="130"/>
      <c r="E44" s="131"/>
      <c r="F44" s="130"/>
      <c r="G44" s="130"/>
    </row>
    <row r="45" spans="1:7" ht="15.5">
      <c r="A45" s="113"/>
      <c r="B45" s="113"/>
      <c r="C45" s="111"/>
      <c r="D45" s="130"/>
      <c r="E45" s="131"/>
      <c r="F45" s="130"/>
      <c r="G45" s="130"/>
    </row>
    <row r="46" spans="1:7" ht="15.5">
      <c r="A46" s="113"/>
      <c r="B46" s="113"/>
      <c r="C46" s="111"/>
      <c r="D46" s="130"/>
      <c r="E46" s="131"/>
      <c r="F46" s="130"/>
      <c r="G46" s="130"/>
    </row>
    <row r="47" spans="1:7" ht="15.5">
      <c r="A47" s="113"/>
      <c r="B47" s="113"/>
      <c r="C47" s="111"/>
      <c r="D47" s="130"/>
      <c r="E47" s="131"/>
      <c r="F47" s="130"/>
      <c r="G47" s="130"/>
    </row>
    <row r="48" spans="1:7" ht="15.5">
      <c r="A48" s="113"/>
      <c r="B48" s="113"/>
      <c r="C48" s="111"/>
      <c r="D48" s="130"/>
      <c r="E48" s="131"/>
      <c r="F48" s="130"/>
      <c r="G48" s="130"/>
    </row>
    <row r="49" spans="1:7" ht="15.5">
      <c r="A49" s="124"/>
      <c r="B49" s="124"/>
      <c r="C49" s="132"/>
      <c r="D49" s="125"/>
      <c r="E49" s="126"/>
      <c r="F49" s="125"/>
      <c r="G49" s="125"/>
    </row>
    <row r="50" spans="1:7" ht="15.5">
      <c r="A50" s="124"/>
      <c r="B50" s="124"/>
      <c r="C50" s="132"/>
      <c r="D50" s="125"/>
      <c r="E50" s="126"/>
      <c r="F50" s="125"/>
      <c r="G50" s="125"/>
    </row>
    <row r="51" spans="1:7" ht="15.5">
      <c r="A51" s="124" t="s">
        <v>153</v>
      </c>
      <c r="B51" s="124" t="s">
        <v>163</v>
      </c>
      <c r="C51" s="132"/>
      <c r="D51" s="124"/>
      <c r="E51" s="126"/>
      <c r="F51" s="125"/>
      <c r="G51" s="125"/>
    </row>
    <row r="52" spans="1:7" ht="15.5">
      <c r="A52" s="124" t="s">
        <v>144</v>
      </c>
      <c r="B52" s="124" t="s">
        <v>164</v>
      </c>
      <c r="C52" s="132"/>
      <c r="D52" s="124"/>
      <c r="E52" s="126"/>
      <c r="F52" s="125"/>
      <c r="G52" s="125"/>
    </row>
    <row r="53" spans="1:7" ht="15.5">
      <c r="A53" s="124"/>
      <c r="B53" s="124"/>
      <c r="C53" s="132"/>
      <c r="D53" s="124"/>
      <c r="E53" s="126"/>
      <c r="F53" s="125"/>
      <c r="G53" s="125"/>
    </row>
    <row r="54" spans="1:7" ht="15.5">
      <c r="A54" s="157" t="s">
        <v>64</v>
      </c>
      <c r="B54" s="157" t="s">
        <v>66</v>
      </c>
      <c r="C54" s="157" t="s">
        <v>67</v>
      </c>
      <c r="D54" s="157" t="s">
        <v>68</v>
      </c>
      <c r="E54" s="167" t="s">
        <v>69</v>
      </c>
      <c r="F54" s="166" t="s">
        <v>130</v>
      </c>
      <c r="G54" s="166"/>
    </row>
    <row r="55" spans="1:7" ht="15.5">
      <c r="A55" s="157"/>
      <c r="B55" s="157"/>
      <c r="C55" s="157"/>
      <c r="D55" s="157"/>
      <c r="E55" s="167"/>
      <c r="F55" s="127" t="s">
        <v>68</v>
      </c>
      <c r="G55" s="127" t="s">
        <v>69</v>
      </c>
    </row>
    <row r="56" spans="1:7" ht="15.5">
      <c r="A56" s="113" t="s">
        <v>113</v>
      </c>
      <c r="B56" s="113"/>
      <c r="C56" s="111"/>
      <c r="D56" s="113"/>
      <c r="E56" s="131"/>
      <c r="F56" s="130"/>
      <c r="G56" s="130"/>
    </row>
    <row r="57" spans="1:7" ht="15.5">
      <c r="A57" s="113">
        <v>1</v>
      </c>
      <c r="B57" s="113" t="s">
        <v>146</v>
      </c>
      <c r="C57" s="111"/>
      <c r="D57" s="113"/>
      <c r="E57" s="131"/>
      <c r="F57" s="130"/>
      <c r="G57" s="130">
        <v>1554000</v>
      </c>
    </row>
    <row r="58" spans="1:7" ht="15.5">
      <c r="A58" s="113">
        <v>9</v>
      </c>
      <c r="B58" s="113" t="s">
        <v>156</v>
      </c>
      <c r="C58" s="129"/>
      <c r="D58" s="113"/>
      <c r="E58" s="131">
        <v>12757650</v>
      </c>
      <c r="F58" s="130"/>
      <c r="G58" s="130">
        <f>E58+G57</f>
        <v>14311650</v>
      </c>
    </row>
    <row r="59" spans="1:7" ht="15.5">
      <c r="A59" s="113"/>
      <c r="B59" s="113"/>
      <c r="C59" s="111"/>
      <c r="D59" s="113"/>
      <c r="E59" s="131"/>
      <c r="F59" s="130"/>
      <c r="G59" s="130"/>
    </row>
    <row r="60" spans="1:7" ht="15.5">
      <c r="A60" s="113"/>
      <c r="B60" s="113"/>
      <c r="C60" s="111"/>
      <c r="D60" s="113"/>
      <c r="E60" s="131"/>
      <c r="F60" s="130"/>
      <c r="G60" s="130"/>
    </row>
    <row r="61" spans="1:7" ht="15.5">
      <c r="A61" s="113"/>
      <c r="B61" s="113"/>
      <c r="C61" s="111"/>
      <c r="D61" s="113"/>
      <c r="E61" s="131"/>
      <c r="F61" s="130"/>
      <c r="G61" s="130"/>
    </row>
    <row r="62" spans="1:7" ht="15.5">
      <c r="A62" s="113"/>
      <c r="B62" s="113"/>
      <c r="C62" s="111"/>
      <c r="D62" s="113"/>
      <c r="E62" s="131"/>
      <c r="F62" s="130"/>
      <c r="G62" s="130"/>
    </row>
    <row r="63" spans="1:7" ht="15.5">
      <c r="A63" s="113"/>
      <c r="B63" s="113"/>
      <c r="C63" s="111"/>
      <c r="D63" s="113"/>
      <c r="E63" s="131"/>
      <c r="F63" s="130"/>
      <c r="G63" s="130"/>
    </row>
  </sheetData>
  <mergeCells count="15">
    <mergeCell ref="A1:G1"/>
    <mergeCell ref="A2:G2"/>
    <mergeCell ref="A3:G3"/>
    <mergeCell ref="F38:G38"/>
    <mergeCell ref="F54:G54"/>
    <mergeCell ref="A38:A39"/>
    <mergeCell ref="A54:A55"/>
    <mergeCell ref="B38:B39"/>
    <mergeCell ref="B54:B55"/>
    <mergeCell ref="C38:C39"/>
    <mergeCell ref="C54:C55"/>
    <mergeCell ref="D38:D39"/>
    <mergeCell ref="D54:D55"/>
    <mergeCell ref="E38:E39"/>
    <mergeCell ref="E54:E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2"/>
  <sheetViews>
    <sheetView zoomScale="82" zoomScaleNormal="78" workbookViewId="0">
      <selection activeCell="I9" sqref="I9"/>
    </sheetView>
  </sheetViews>
  <sheetFormatPr defaultColWidth="9" defaultRowHeight="14.5"/>
  <cols>
    <col min="1" max="1" width="10.7265625" customWidth="1"/>
    <col min="2" max="2" width="26.81640625" customWidth="1"/>
    <col min="4" max="4" width="16.26953125" style="1" customWidth="1"/>
    <col min="5" max="5" width="17.7265625" style="1" customWidth="1"/>
    <col min="6" max="6" width="17.26953125" style="35" customWidth="1"/>
    <col min="7" max="7" width="19.26953125" style="35" customWidth="1"/>
  </cols>
  <sheetData>
    <row r="1" spans="1:7">
      <c r="A1" s="162"/>
      <c r="B1" s="162"/>
      <c r="C1" s="162"/>
      <c r="D1" s="162"/>
      <c r="E1" s="162"/>
      <c r="F1" s="162"/>
      <c r="G1" s="162"/>
    </row>
    <row r="2" spans="1:7">
      <c r="A2" s="162" t="s">
        <v>141</v>
      </c>
      <c r="B2" s="162"/>
      <c r="C2" s="162"/>
      <c r="D2" s="162"/>
      <c r="E2" s="162"/>
      <c r="F2" s="162"/>
      <c r="G2" s="162"/>
    </row>
    <row r="3" spans="1:7">
      <c r="A3" s="162"/>
      <c r="B3" s="162"/>
      <c r="C3" s="162"/>
      <c r="D3" s="162"/>
      <c r="E3" s="162"/>
      <c r="F3" s="162"/>
      <c r="G3" s="162"/>
    </row>
    <row r="5" spans="1:7" ht="15.5">
      <c r="A5" s="124" t="s">
        <v>142</v>
      </c>
      <c r="B5" s="124" t="s">
        <v>143</v>
      </c>
      <c r="C5" s="124"/>
      <c r="D5" s="126"/>
      <c r="E5" s="126"/>
      <c r="F5" s="125"/>
      <c r="G5" s="125"/>
    </row>
    <row r="6" spans="1:7" ht="15.5">
      <c r="A6" s="124" t="s">
        <v>144</v>
      </c>
      <c r="B6" s="124" t="s">
        <v>145</v>
      </c>
      <c r="C6" s="124"/>
      <c r="D6" s="126"/>
      <c r="E6" s="126"/>
      <c r="F6" s="125"/>
      <c r="G6" s="125"/>
    </row>
    <row r="7" spans="1:7" ht="15.5">
      <c r="A7" s="124"/>
      <c r="B7" s="124"/>
      <c r="C7" s="124"/>
      <c r="D7" s="126"/>
      <c r="E7" s="126"/>
      <c r="F7" s="125"/>
      <c r="G7" s="125"/>
    </row>
    <row r="8" spans="1:7" ht="15.5">
      <c r="A8" s="157" t="s">
        <v>64</v>
      </c>
      <c r="B8" s="157" t="s">
        <v>66</v>
      </c>
      <c r="C8" s="157" t="s">
        <v>67</v>
      </c>
      <c r="D8" s="167" t="s">
        <v>68</v>
      </c>
      <c r="E8" s="167" t="s">
        <v>69</v>
      </c>
      <c r="F8" s="166" t="s">
        <v>130</v>
      </c>
      <c r="G8" s="166"/>
    </row>
    <row r="9" spans="1:7" ht="15.5">
      <c r="A9" s="157"/>
      <c r="B9" s="157"/>
      <c r="C9" s="157"/>
      <c r="D9" s="167"/>
      <c r="E9" s="167"/>
      <c r="F9" s="127" t="s">
        <v>68</v>
      </c>
      <c r="G9" s="127" t="s">
        <v>69</v>
      </c>
    </row>
    <row r="10" spans="1:7" ht="15.5">
      <c r="A10" s="113">
        <v>1</v>
      </c>
      <c r="B10" s="113" t="s">
        <v>146</v>
      </c>
      <c r="C10" s="129" t="s">
        <v>147</v>
      </c>
      <c r="D10" s="131"/>
      <c r="E10" s="131"/>
      <c r="F10" s="130">
        <v>5772000</v>
      </c>
      <c r="G10" s="130"/>
    </row>
    <row r="11" spans="1:7" ht="15.5">
      <c r="A11" s="113">
        <v>9</v>
      </c>
      <c r="B11" s="113" t="s">
        <v>148</v>
      </c>
      <c r="C11" s="113"/>
      <c r="D11" s="131"/>
      <c r="E11" s="131">
        <v>5772000</v>
      </c>
      <c r="F11" s="130">
        <f>F10-E11</f>
        <v>0</v>
      </c>
      <c r="G11" s="130"/>
    </row>
    <row r="12" spans="1:7" ht="15.5">
      <c r="A12" s="113"/>
      <c r="B12" s="113"/>
      <c r="C12" s="113"/>
      <c r="D12" s="131"/>
      <c r="E12" s="131"/>
      <c r="F12" s="130"/>
      <c r="G12" s="130"/>
    </row>
    <row r="13" spans="1:7" ht="15.5">
      <c r="A13" s="113"/>
      <c r="B13" s="113"/>
      <c r="C13" s="113"/>
      <c r="D13" s="131"/>
      <c r="E13" s="131"/>
      <c r="F13" s="130"/>
      <c r="G13" s="130"/>
    </row>
    <row r="14" spans="1:7" ht="15.5">
      <c r="A14" s="113"/>
      <c r="B14" s="113"/>
      <c r="C14" s="113"/>
      <c r="D14" s="131"/>
      <c r="E14" s="131"/>
      <c r="F14" s="130"/>
      <c r="G14" s="130"/>
    </row>
    <row r="15" spans="1:7" ht="15.5">
      <c r="A15" s="113"/>
      <c r="B15" s="113"/>
      <c r="C15" s="113"/>
      <c r="D15" s="131"/>
      <c r="E15" s="131"/>
      <c r="F15" s="130"/>
      <c r="G15" s="130"/>
    </row>
    <row r="16" spans="1:7" ht="15.5">
      <c r="A16" s="113"/>
      <c r="B16" s="113"/>
      <c r="C16" s="113"/>
      <c r="D16" s="131"/>
      <c r="E16" s="131"/>
      <c r="F16" s="130"/>
      <c r="G16" s="130"/>
    </row>
    <row r="17" spans="1:7" ht="15.5">
      <c r="A17" s="113"/>
      <c r="B17" s="113"/>
      <c r="C17" s="113"/>
      <c r="D17" s="131"/>
      <c r="E17" s="131"/>
      <c r="F17" s="130"/>
      <c r="G17" s="130"/>
    </row>
    <row r="18" spans="1:7" ht="15.5">
      <c r="A18" s="124"/>
      <c r="B18" s="124"/>
      <c r="C18" s="124"/>
      <c r="D18" s="126"/>
      <c r="E18" s="126"/>
      <c r="F18" s="125"/>
      <c r="G18" s="125"/>
    </row>
    <row r="19" spans="1:7" ht="15.5">
      <c r="A19" s="124"/>
      <c r="B19" s="124"/>
      <c r="C19" s="124"/>
      <c r="D19" s="126"/>
      <c r="E19" s="126"/>
      <c r="F19" s="125"/>
      <c r="G19" s="125"/>
    </row>
    <row r="20" spans="1:7" ht="15.5">
      <c r="A20" s="124" t="s">
        <v>142</v>
      </c>
      <c r="B20" s="124" t="s">
        <v>102</v>
      </c>
      <c r="C20" s="124"/>
      <c r="D20" s="126"/>
      <c r="E20" s="126"/>
      <c r="F20" s="125"/>
      <c r="G20" s="125"/>
    </row>
    <row r="21" spans="1:7" ht="15.5">
      <c r="A21" s="124" t="s">
        <v>144</v>
      </c>
      <c r="B21" s="124" t="s">
        <v>149</v>
      </c>
      <c r="C21" s="124"/>
      <c r="D21" s="126"/>
      <c r="E21" s="126"/>
      <c r="F21" s="125"/>
      <c r="G21" s="125"/>
    </row>
    <row r="22" spans="1:7" ht="15.5">
      <c r="A22" s="124"/>
      <c r="B22" s="124"/>
      <c r="C22" s="124"/>
      <c r="D22" s="126"/>
      <c r="E22" s="126"/>
      <c r="F22" s="125"/>
      <c r="G22" s="125"/>
    </row>
    <row r="23" spans="1:7" ht="15.5">
      <c r="A23" s="157" t="s">
        <v>64</v>
      </c>
      <c r="B23" s="157" t="s">
        <v>66</v>
      </c>
      <c r="C23" s="157" t="s">
        <v>67</v>
      </c>
      <c r="D23" s="167" t="s">
        <v>68</v>
      </c>
      <c r="E23" s="167" t="s">
        <v>69</v>
      </c>
      <c r="F23" s="166" t="s">
        <v>130</v>
      </c>
      <c r="G23" s="166"/>
    </row>
    <row r="24" spans="1:7" ht="15.5">
      <c r="A24" s="157"/>
      <c r="B24" s="157"/>
      <c r="C24" s="157"/>
      <c r="D24" s="167"/>
      <c r="E24" s="167"/>
      <c r="F24" s="127" t="s">
        <v>68</v>
      </c>
      <c r="G24" s="127" t="s">
        <v>69</v>
      </c>
    </row>
    <row r="25" spans="1:7" ht="15.5">
      <c r="A25" s="113">
        <v>1</v>
      </c>
      <c r="B25" s="113" t="s">
        <v>146</v>
      </c>
      <c r="C25" s="129" t="s">
        <v>147</v>
      </c>
      <c r="D25" s="131"/>
      <c r="E25" s="131"/>
      <c r="F25" s="130">
        <v>2775000</v>
      </c>
      <c r="G25" s="130"/>
    </row>
    <row r="26" spans="1:7" ht="15.5">
      <c r="A26" s="113">
        <v>7</v>
      </c>
      <c r="B26" s="113" t="s">
        <v>40</v>
      </c>
      <c r="C26" s="113"/>
      <c r="D26" s="120">
        <f>SJ!E9</f>
        <v>6786100</v>
      </c>
      <c r="E26" s="131"/>
      <c r="F26" s="130">
        <f>F25+D26</f>
        <v>9561100</v>
      </c>
      <c r="G26" s="130"/>
    </row>
    <row r="27" spans="1:7" ht="15.5">
      <c r="A27" s="113">
        <v>14</v>
      </c>
      <c r="B27" s="113" t="s">
        <v>148</v>
      </c>
      <c r="C27" s="113"/>
      <c r="D27" s="131"/>
      <c r="E27" s="131">
        <v>2775000</v>
      </c>
      <c r="F27" s="130">
        <f>F26-E27</f>
        <v>6786100</v>
      </c>
      <c r="G27" s="130"/>
    </row>
    <row r="28" spans="1:7" ht="15.5">
      <c r="A28" s="113">
        <v>28</v>
      </c>
      <c r="B28" s="113" t="s">
        <v>148</v>
      </c>
      <c r="C28" s="113"/>
      <c r="D28" s="131"/>
      <c r="E28" s="131">
        <f>CRJ!H19</f>
        <v>6786100</v>
      </c>
      <c r="F28" s="130">
        <f>F27-E28</f>
        <v>0</v>
      </c>
      <c r="G28" s="130"/>
    </row>
    <row r="29" spans="1:7" ht="15.5">
      <c r="A29" s="113"/>
      <c r="B29" s="113"/>
      <c r="C29" s="113"/>
      <c r="D29" s="131"/>
      <c r="E29" s="131"/>
      <c r="F29" s="130"/>
      <c r="G29" s="130"/>
    </row>
    <row r="30" spans="1:7" ht="15.5">
      <c r="A30" s="113"/>
      <c r="B30" s="113"/>
      <c r="C30" s="113"/>
      <c r="D30" s="131"/>
      <c r="E30" s="131"/>
      <c r="F30" s="130"/>
      <c r="G30" s="130"/>
    </row>
    <row r="31" spans="1:7" ht="15.5">
      <c r="A31" s="113"/>
      <c r="B31" s="113"/>
      <c r="C31" s="113"/>
      <c r="D31" s="131"/>
      <c r="E31" s="131"/>
      <c r="F31" s="130"/>
      <c r="G31" s="130"/>
    </row>
    <row r="32" spans="1:7" ht="15.5">
      <c r="A32" s="113"/>
      <c r="B32" s="113"/>
      <c r="C32" s="113"/>
      <c r="D32" s="131"/>
      <c r="E32" s="131"/>
      <c r="F32" s="130"/>
      <c r="G32" s="130"/>
    </row>
    <row r="33" spans="1:7" ht="15.5">
      <c r="A33" s="124"/>
      <c r="B33" s="124"/>
      <c r="C33" s="124"/>
      <c r="D33" s="126"/>
      <c r="E33" s="126"/>
      <c r="F33" s="125"/>
      <c r="G33" s="125"/>
    </row>
    <row r="34" spans="1:7" ht="15.5">
      <c r="A34" s="124"/>
      <c r="B34" s="124"/>
      <c r="C34" s="124"/>
      <c r="D34" s="126"/>
      <c r="E34" s="126"/>
      <c r="F34" s="125"/>
      <c r="G34" s="125"/>
    </row>
    <row r="35" spans="1:7" ht="15.5">
      <c r="A35" s="124" t="s">
        <v>142</v>
      </c>
      <c r="B35" s="124" t="s">
        <v>78</v>
      </c>
      <c r="C35" s="124"/>
      <c r="D35" s="126"/>
      <c r="E35" s="126"/>
      <c r="F35" s="125"/>
      <c r="G35" s="125"/>
    </row>
    <row r="36" spans="1:7" ht="15.5">
      <c r="A36" s="124" t="s">
        <v>144</v>
      </c>
      <c r="B36" s="124" t="s">
        <v>150</v>
      </c>
      <c r="C36" s="124"/>
      <c r="D36" s="126"/>
      <c r="E36" s="126"/>
      <c r="F36" s="125"/>
      <c r="G36" s="125"/>
    </row>
    <row r="37" spans="1:7" ht="15.5">
      <c r="A37" s="124"/>
      <c r="B37" s="124"/>
      <c r="C37" s="124"/>
      <c r="D37" s="126"/>
      <c r="E37" s="126"/>
      <c r="F37" s="125"/>
      <c r="G37" s="125"/>
    </row>
    <row r="38" spans="1:7" ht="15.5">
      <c r="A38" s="157" t="s">
        <v>64</v>
      </c>
      <c r="B38" s="157" t="s">
        <v>66</v>
      </c>
      <c r="C38" s="157" t="s">
        <v>67</v>
      </c>
      <c r="D38" s="167" t="s">
        <v>68</v>
      </c>
      <c r="E38" s="167" t="s">
        <v>69</v>
      </c>
      <c r="F38" s="166" t="s">
        <v>130</v>
      </c>
      <c r="G38" s="166"/>
    </row>
    <row r="39" spans="1:7" ht="15.5">
      <c r="A39" s="157"/>
      <c r="B39" s="157"/>
      <c r="C39" s="157"/>
      <c r="D39" s="167"/>
      <c r="E39" s="167"/>
      <c r="F39" s="127" t="s">
        <v>68</v>
      </c>
      <c r="G39" s="127" t="s">
        <v>69</v>
      </c>
    </row>
    <row r="40" spans="1:7" ht="15.5">
      <c r="A40" s="113">
        <v>1</v>
      </c>
      <c r="B40" s="113" t="s">
        <v>146</v>
      </c>
      <c r="C40" s="129" t="s">
        <v>147</v>
      </c>
      <c r="D40" s="131"/>
      <c r="E40" s="131"/>
      <c r="F40" s="130">
        <v>5106000</v>
      </c>
      <c r="G40" s="130"/>
    </row>
    <row r="41" spans="1:7" ht="15.5">
      <c r="A41" s="113">
        <v>18</v>
      </c>
      <c r="B41" s="113" t="s">
        <v>148</v>
      </c>
      <c r="C41" s="113"/>
      <c r="D41" s="131"/>
      <c r="E41" s="131">
        <v>5106000</v>
      </c>
      <c r="F41" s="121">
        <f>SUM(F40-E41)</f>
        <v>0</v>
      </c>
      <c r="G41" s="130"/>
    </row>
    <row r="42" spans="1:7" ht="15.5">
      <c r="A42" s="113"/>
      <c r="B42" s="113"/>
      <c r="C42" s="113"/>
      <c r="D42" s="131"/>
      <c r="E42" s="131"/>
      <c r="F42" s="130"/>
      <c r="G42" s="130"/>
    </row>
    <row r="43" spans="1:7" ht="15.5">
      <c r="A43" s="113"/>
      <c r="B43" s="113"/>
      <c r="C43" s="113"/>
      <c r="D43" s="131"/>
      <c r="E43" s="131"/>
      <c r="F43" s="130"/>
      <c r="G43" s="130"/>
    </row>
    <row r="44" spans="1:7" ht="15.5">
      <c r="A44" s="113"/>
      <c r="B44" s="113"/>
      <c r="C44" s="113"/>
      <c r="D44" s="131"/>
      <c r="E44" s="131"/>
      <c r="F44" s="130"/>
      <c r="G44" s="130"/>
    </row>
    <row r="45" spans="1:7" ht="15.5">
      <c r="A45" s="113"/>
      <c r="B45" s="113"/>
      <c r="C45" s="113"/>
      <c r="D45" s="131"/>
      <c r="E45" s="131"/>
      <c r="F45" s="130"/>
      <c r="G45" s="130"/>
    </row>
    <row r="46" spans="1:7" ht="15.5">
      <c r="A46" s="113"/>
      <c r="B46" s="113"/>
      <c r="C46" s="113"/>
      <c r="D46" s="131"/>
      <c r="E46" s="131"/>
      <c r="F46" s="130"/>
      <c r="G46" s="130"/>
    </row>
    <row r="47" spans="1:7" ht="15.5">
      <c r="A47" s="113"/>
      <c r="B47" s="113"/>
      <c r="C47" s="113"/>
      <c r="D47" s="131"/>
      <c r="E47" s="131"/>
      <c r="F47" s="130"/>
      <c r="G47" s="130"/>
    </row>
    <row r="48" spans="1:7" ht="15.5">
      <c r="A48" s="124"/>
      <c r="B48" s="124"/>
      <c r="C48" s="124"/>
      <c r="D48" s="126"/>
      <c r="E48" s="126"/>
      <c r="F48" s="125"/>
      <c r="G48" s="125"/>
    </row>
    <row r="49" spans="1:7" ht="15.5">
      <c r="A49" s="124"/>
      <c r="B49" s="124"/>
      <c r="C49" s="124"/>
      <c r="D49" s="126"/>
      <c r="E49" s="126"/>
      <c r="F49" s="125"/>
      <c r="G49" s="125"/>
    </row>
    <row r="50" spans="1:7" ht="15.5">
      <c r="A50" s="124" t="s">
        <v>142</v>
      </c>
      <c r="B50" s="124" t="s">
        <v>84</v>
      </c>
      <c r="C50" s="124"/>
      <c r="D50" s="126"/>
      <c r="E50" s="126"/>
      <c r="F50" s="125"/>
      <c r="G50" s="125"/>
    </row>
    <row r="51" spans="1:7" ht="15.5">
      <c r="A51" s="124" t="s">
        <v>144</v>
      </c>
      <c r="B51" s="124" t="s">
        <v>151</v>
      </c>
      <c r="C51" s="124"/>
      <c r="D51" s="126"/>
      <c r="E51" s="126"/>
      <c r="F51" s="125"/>
      <c r="G51" s="125"/>
    </row>
    <row r="52" spans="1:7" ht="15.5">
      <c r="A52" s="124"/>
      <c r="B52" s="124"/>
      <c r="C52" s="124"/>
      <c r="D52" s="126"/>
      <c r="E52" s="126"/>
      <c r="F52" s="125"/>
      <c r="G52" s="125"/>
    </row>
    <row r="53" spans="1:7" ht="15.5">
      <c r="A53" s="157" t="s">
        <v>64</v>
      </c>
      <c r="B53" s="157" t="s">
        <v>66</v>
      </c>
      <c r="C53" s="157" t="s">
        <v>67</v>
      </c>
      <c r="D53" s="167" t="s">
        <v>68</v>
      </c>
      <c r="E53" s="167" t="s">
        <v>69</v>
      </c>
      <c r="F53" s="166" t="s">
        <v>130</v>
      </c>
      <c r="G53" s="166"/>
    </row>
    <row r="54" spans="1:7" ht="15.5">
      <c r="A54" s="157"/>
      <c r="B54" s="157"/>
      <c r="C54" s="157"/>
      <c r="D54" s="167"/>
      <c r="E54" s="167"/>
      <c r="F54" s="127" t="s">
        <v>68</v>
      </c>
      <c r="G54" s="127" t="s">
        <v>69</v>
      </c>
    </row>
    <row r="55" spans="1:7" ht="15.5">
      <c r="A55" s="113">
        <v>1</v>
      </c>
      <c r="B55" s="113" t="s">
        <v>146</v>
      </c>
      <c r="C55" s="129" t="s">
        <v>147</v>
      </c>
      <c r="D55" s="131"/>
      <c r="E55" s="131"/>
      <c r="F55" s="130">
        <v>4107000</v>
      </c>
      <c r="G55" s="130"/>
    </row>
    <row r="56" spans="1:7" ht="15.5">
      <c r="A56" s="113">
        <v>24</v>
      </c>
      <c r="B56" s="113" t="s">
        <v>40</v>
      </c>
      <c r="C56" s="113"/>
      <c r="D56" s="120">
        <f>SJ!E11</f>
        <v>6328000</v>
      </c>
      <c r="E56" s="131"/>
      <c r="F56" s="130">
        <f>F55+D56</f>
        <v>10435000</v>
      </c>
      <c r="G56" s="130"/>
    </row>
    <row r="57" spans="1:7" ht="15.5">
      <c r="A57" s="113">
        <v>26</v>
      </c>
      <c r="B57" s="113" t="s">
        <v>148</v>
      </c>
      <c r="C57" s="113"/>
      <c r="D57" s="131"/>
      <c r="E57" s="131">
        <v>4107000</v>
      </c>
      <c r="F57" s="130">
        <f>F56-E57</f>
        <v>6328000</v>
      </c>
      <c r="G57" s="130"/>
    </row>
    <row r="58" spans="1:7" ht="15.5">
      <c r="A58" s="113"/>
      <c r="B58" s="113"/>
      <c r="C58" s="113"/>
      <c r="D58" s="131"/>
      <c r="E58" s="131"/>
      <c r="F58" s="130"/>
      <c r="G58" s="130"/>
    </row>
    <row r="59" spans="1:7" ht="15.5">
      <c r="A59" s="113"/>
      <c r="B59" s="113"/>
      <c r="C59" s="113"/>
      <c r="D59" s="131"/>
      <c r="E59" s="131"/>
      <c r="F59" s="130"/>
      <c r="G59" s="130"/>
    </row>
    <row r="60" spans="1:7" ht="15.5">
      <c r="A60" s="113"/>
      <c r="B60" s="113"/>
      <c r="C60" s="113"/>
      <c r="D60" s="131"/>
      <c r="E60" s="131"/>
      <c r="F60" s="130"/>
      <c r="G60" s="130"/>
    </row>
    <row r="61" spans="1:7" ht="15.5">
      <c r="A61" s="113"/>
      <c r="B61" s="113"/>
      <c r="C61" s="113"/>
      <c r="D61" s="131"/>
      <c r="E61" s="131"/>
      <c r="F61" s="130"/>
      <c r="G61" s="130"/>
    </row>
    <row r="62" spans="1:7" ht="15.5">
      <c r="A62" s="113"/>
      <c r="B62" s="113"/>
      <c r="C62" s="113"/>
      <c r="D62" s="131"/>
      <c r="E62" s="131"/>
      <c r="F62" s="130"/>
      <c r="G62" s="130"/>
    </row>
  </sheetData>
  <mergeCells count="27">
    <mergeCell ref="A1:G1"/>
    <mergeCell ref="A2:G2"/>
    <mergeCell ref="A3:G3"/>
    <mergeCell ref="F8:G8"/>
    <mergeCell ref="F23:G23"/>
    <mergeCell ref="F38:G38"/>
    <mergeCell ref="F53:G53"/>
    <mergeCell ref="A8:A9"/>
    <mergeCell ref="A23:A24"/>
    <mergeCell ref="A38:A39"/>
    <mergeCell ref="A53:A54"/>
    <mergeCell ref="B8:B9"/>
    <mergeCell ref="B23:B24"/>
    <mergeCell ref="B38:B39"/>
    <mergeCell ref="B53:B54"/>
    <mergeCell ref="C8:C9"/>
    <mergeCell ref="C23:C24"/>
    <mergeCell ref="C38:C39"/>
    <mergeCell ref="C53:C54"/>
    <mergeCell ref="D8:D9"/>
    <mergeCell ref="D23:D24"/>
    <mergeCell ref="D38:D39"/>
    <mergeCell ref="D53:D54"/>
    <mergeCell ref="E8:E9"/>
    <mergeCell ref="E23:E24"/>
    <mergeCell ref="E38:E39"/>
    <mergeCell ref="E53:E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31"/>
  <sheetViews>
    <sheetView topLeftCell="A418" zoomScale="68" zoomScaleNormal="68" workbookViewId="0">
      <selection activeCell="E434" sqref="E434"/>
    </sheetView>
  </sheetViews>
  <sheetFormatPr defaultColWidth="9" defaultRowHeight="14.5"/>
  <cols>
    <col min="1" max="1" width="10.7265625" customWidth="1"/>
    <col min="2" max="2" width="26.81640625" customWidth="1"/>
    <col min="4" max="4" width="16.26953125" customWidth="1"/>
    <col min="5" max="5" width="16.54296875" customWidth="1"/>
    <col min="6" max="6" width="17.26953125" customWidth="1"/>
    <col min="7" max="7" width="19.26953125" customWidth="1"/>
  </cols>
  <sheetData>
    <row r="1" spans="1:7">
      <c r="A1" s="162"/>
      <c r="B1" s="162"/>
      <c r="C1" s="162"/>
      <c r="D1" s="162"/>
      <c r="E1" s="162"/>
      <c r="F1" s="162"/>
      <c r="G1" s="162"/>
    </row>
    <row r="2" spans="1:7">
      <c r="A2" s="162" t="s">
        <v>165</v>
      </c>
      <c r="B2" s="162"/>
      <c r="C2" s="162"/>
      <c r="D2" s="162"/>
      <c r="E2" s="162"/>
      <c r="F2" s="162"/>
      <c r="G2" s="162"/>
    </row>
    <row r="3" spans="1:7">
      <c r="A3" s="162"/>
      <c r="B3" s="162"/>
      <c r="C3" s="162"/>
      <c r="D3" s="162"/>
      <c r="E3" s="162"/>
      <c r="F3" s="162"/>
      <c r="G3" s="162"/>
    </row>
    <row r="5" spans="1:7">
      <c r="A5" t="s">
        <v>166</v>
      </c>
      <c r="B5" t="s">
        <v>71</v>
      </c>
    </row>
    <row r="6" spans="1:7">
      <c r="A6" t="s">
        <v>167</v>
      </c>
      <c r="B6" t="s">
        <v>5</v>
      </c>
    </row>
    <row r="8" spans="1:7">
      <c r="A8" s="145" t="s">
        <v>64</v>
      </c>
      <c r="B8" s="145" t="s">
        <v>66</v>
      </c>
      <c r="C8" s="145" t="s">
        <v>67</v>
      </c>
      <c r="D8" s="145" t="s">
        <v>68</v>
      </c>
      <c r="E8" s="145" t="s">
        <v>69</v>
      </c>
      <c r="F8" s="145" t="s">
        <v>130</v>
      </c>
      <c r="G8" s="145"/>
    </row>
    <row r="9" spans="1:7">
      <c r="A9" s="145"/>
      <c r="B9" s="145"/>
      <c r="C9" s="145"/>
      <c r="D9" s="145"/>
      <c r="E9" s="145"/>
      <c r="F9" s="9" t="s">
        <v>68</v>
      </c>
      <c r="G9" s="9" t="s">
        <v>69</v>
      </c>
    </row>
    <row r="10" spans="1:7">
      <c r="A10" s="5" t="s">
        <v>113</v>
      </c>
      <c r="B10" s="5"/>
      <c r="C10" s="4"/>
      <c r="D10" s="10"/>
      <c r="E10" s="10"/>
      <c r="F10" s="10"/>
      <c r="G10" s="10"/>
    </row>
    <row r="11" spans="1:7">
      <c r="A11" s="5">
        <v>1</v>
      </c>
      <c r="B11" s="5" t="s">
        <v>168</v>
      </c>
      <c r="C11" s="37" t="s">
        <v>147</v>
      </c>
      <c r="D11" s="10"/>
      <c r="E11" s="10"/>
      <c r="F11" s="10">
        <v>90839200</v>
      </c>
      <c r="G11" s="10"/>
    </row>
    <row r="12" spans="1:7">
      <c r="A12" s="5">
        <v>31</v>
      </c>
      <c r="B12" s="5" t="s">
        <v>169</v>
      </c>
      <c r="C12" s="4" t="s">
        <v>170</v>
      </c>
      <c r="D12" s="29">
        <f>CRJ!M8</f>
        <v>39972325</v>
      </c>
      <c r="E12" s="10"/>
      <c r="F12" s="10">
        <f>SUM(F11+D12)</f>
        <v>130811525</v>
      </c>
      <c r="G12" s="10"/>
    </row>
    <row r="13" spans="1:7">
      <c r="A13" s="5">
        <v>31</v>
      </c>
      <c r="B13" s="5" t="s">
        <v>169</v>
      </c>
      <c r="C13" s="4" t="s">
        <v>171</v>
      </c>
      <c r="D13" s="10"/>
      <c r="E13" s="29">
        <f>CPJ!O8</f>
        <v>8224143</v>
      </c>
      <c r="F13" s="11">
        <f>SUM(F12-E13)</f>
        <v>122587382</v>
      </c>
      <c r="G13" s="10"/>
    </row>
    <row r="14" spans="1:7">
      <c r="A14" s="5"/>
      <c r="B14" s="5"/>
      <c r="C14" s="4"/>
      <c r="D14" s="10"/>
      <c r="E14" s="10"/>
      <c r="F14" s="10"/>
      <c r="G14" s="10"/>
    </row>
    <row r="15" spans="1:7">
      <c r="A15" s="5"/>
      <c r="B15" s="5"/>
      <c r="C15" s="4"/>
      <c r="D15" s="10"/>
      <c r="E15" s="10"/>
      <c r="F15" s="10"/>
      <c r="G15" s="10"/>
    </row>
    <row r="16" spans="1:7">
      <c r="A16" s="5"/>
      <c r="B16" s="5"/>
      <c r="C16" s="4"/>
      <c r="D16" s="10"/>
      <c r="E16" s="10"/>
      <c r="F16" s="10"/>
      <c r="G16" s="10"/>
    </row>
    <row r="17" spans="1:7">
      <c r="A17" s="5"/>
      <c r="B17" s="5"/>
      <c r="C17" s="4"/>
      <c r="D17" s="10"/>
      <c r="E17" s="10"/>
      <c r="F17" s="10"/>
      <c r="G17" s="10"/>
    </row>
    <row r="18" spans="1:7">
      <c r="C18" s="7"/>
    </row>
    <row r="19" spans="1:7">
      <c r="C19" s="7"/>
    </row>
    <row r="20" spans="1:7">
      <c r="A20" t="s">
        <v>166</v>
      </c>
      <c r="B20" t="s">
        <v>172</v>
      </c>
      <c r="C20" s="7"/>
    </row>
    <row r="21" spans="1:7">
      <c r="A21" t="s">
        <v>167</v>
      </c>
      <c r="B21" t="s">
        <v>7</v>
      </c>
      <c r="C21" s="7"/>
    </row>
    <row r="22" spans="1:7">
      <c r="C22" s="7"/>
    </row>
    <row r="23" spans="1:7">
      <c r="A23" s="145" t="s">
        <v>64</v>
      </c>
      <c r="B23" s="145" t="s">
        <v>66</v>
      </c>
      <c r="C23" s="145" t="s">
        <v>67</v>
      </c>
      <c r="D23" s="145" t="s">
        <v>68</v>
      </c>
      <c r="E23" s="145" t="s">
        <v>69</v>
      </c>
      <c r="F23" s="145" t="s">
        <v>130</v>
      </c>
      <c r="G23" s="145"/>
    </row>
    <row r="24" spans="1:7">
      <c r="A24" s="145"/>
      <c r="B24" s="145"/>
      <c r="C24" s="145"/>
      <c r="D24" s="145"/>
      <c r="E24" s="145"/>
      <c r="F24" s="9" t="s">
        <v>68</v>
      </c>
      <c r="G24" s="9" t="s">
        <v>69</v>
      </c>
    </row>
    <row r="25" spans="1:7">
      <c r="A25" s="5" t="s">
        <v>113</v>
      </c>
      <c r="B25" s="5"/>
      <c r="C25" s="4"/>
      <c r="D25" s="10"/>
      <c r="E25" s="10"/>
      <c r="F25" s="10"/>
      <c r="G25" s="10"/>
    </row>
    <row r="26" spans="1:7">
      <c r="A26" s="5">
        <v>1</v>
      </c>
      <c r="B26" s="5" t="s">
        <v>168</v>
      </c>
      <c r="C26" s="37" t="s">
        <v>147</v>
      </c>
      <c r="D26" s="10"/>
      <c r="E26" s="10"/>
      <c r="F26" s="10">
        <f>'TB AWAL'!C7</f>
        <v>3500000</v>
      </c>
      <c r="G26" s="10"/>
    </row>
    <row r="27" spans="1:7">
      <c r="A27" s="5">
        <v>31</v>
      </c>
      <c r="B27" s="5" t="s">
        <v>169</v>
      </c>
      <c r="C27" s="4" t="s">
        <v>173</v>
      </c>
      <c r="D27" s="10"/>
      <c r="E27" s="29">
        <f>PC!N8</f>
        <v>848100</v>
      </c>
      <c r="F27" s="11">
        <f>SUM(F26-E27)</f>
        <v>2651900</v>
      </c>
      <c r="G27" s="10"/>
    </row>
    <row r="28" spans="1:7">
      <c r="A28" s="5"/>
      <c r="B28" s="5"/>
      <c r="C28" s="4"/>
      <c r="D28" s="10"/>
      <c r="E28" s="10"/>
      <c r="F28" s="10"/>
      <c r="G28" s="10"/>
    </row>
    <row r="29" spans="1:7">
      <c r="A29" s="5"/>
      <c r="B29" s="5"/>
      <c r="C29" s="4"/>
      <c r="D29" s="10"/>
      <c r="E29" s="10"/>
      <c r="F29" s="10"/>
      <c r="G29" s="10"/>
    </row>
    <row r="30" spans="1:7">
      <c r="A30" s="5"/>
      <c r="B30" s="5"/>
      <c r="C30" s="4"/>
      <c r="D30" s="10"/>
      <c r="E30" s="10"/>
      <c r="F30" s="10"/>
      <c r="G30" s="10"/>
    </row>
    <row r="31" spans="1:7">
      <c r="A31" s="5"/>
      <c r="B31" s="5"/>
      <c r="C31" s="4"/>
      <c r="D31" s="10"/>
      <c r="E31" s="10"/>
      <c r="F31" s="10"/>
      <c r="G31" s="10"/>
    </row>
    <row r="32" spans="1:7">
      <c r="A32" s="5"/>
      <c r="B32" s="5"/>
      <c r="C32" s="4"/>
      <c r="D32" s="10"/>
      <c r="E32" s="10"/>
      <c r="F32" s="10"/>
      <c r="G32" s="10"/>
    </row>
    <row r="33" spans="1:7">
      <c r="C33" s="7"/>
    </row>
    <row r="34" spans="1:7">
      <c r="C34" s="7"/>
    </row>
    <row r="35" spans="1:7">
      <c r="A35" t="s">
        <v>166</v>
      </c>
      <c r="B35" t="s">
        <v>73</v>
      </c>
      <c r="C35" s="7"/>
    </row>
    <row r="36" spans="1:7">
      <c r="A36" t="s">
        <v>167</v>
      </c>
      <c r="B36" t="s">
        <v>9</v>
      </c>
      <c r="C36" s="7"/>
    </row>
    <row r="37" spans="1:7">
      <c r="C37" s="7"/>
    </row>
    <row r="38" spans="1:7">
      <c r="A38" s="145" t="s">
        <v>64</v>
      </c>
      <c r="B38" s="145" t="s">
        <v>66</v>
      </c>
      <c r="C38" s="145" t="s">
        <v>67</v>
      </c>
      <c r="D38" s="145" t="s">
        <v>68</v>
      </c>
      <c r="E38" s="145" t="s">
        <v>69</v>
      </c>
      <c r="F38" s="145" t="s">
        <v>130</v>
      </c>
      <c r="G38" s="145"/>
    </row>
    <row r="39" spans="1:7">
      <c r="A39" s="145"/>
      <c r="B39" s="145"/>
      <c r="C39" s="145"/>
      <c r="D39" s="145"/>
      <c r="E39" s="145"/>
      <c r="F39" s="9" t="s">
        <v>68</v>
      </c>
      <c r="G39" s="9" t="s">
        <v>69</v>
      </c>
    </row>
    <row r="40" spans="1:7">
      <c r="A40" s="5" t="s">
        <v>113</v>
      </c>
      <c r="B40" s="5"/>
      <c r="C40" s="4"/>
      <c r="D40" s="10"/>
      <c r="E40" s="10"/>
      <c r="F40" s="10"/>
      <c r="G40" s="10"/>
    </row>
    <row r="41" spans="1:7">
      <c r="A41" s="5">
        <v>1</v>
      </c>
      <c r="B41" s="5" t="s">
        <v>168</v>
      </c>
      <c r="C41" s="37" t="s">
        <v>147</v>
      </c>
      <c r="D41" s="10"/>
      <c r="E41" s="10"/>
      <c r="F41" s="10">
        <f>'TB AWAL'!C8</f>
        <v>17760000</v>
      </c>
      <c r="G41" s="10"/>
    </row>
    <row r="42" spans="1:7">
      <c r="A42" s="5">
        <v>31</v>
      </c>
      <c r="B42" s="5" t="s">
        <v>169</v>
      </c>
      <c r="C42" s="4" t="s">
        <v>174</v>
      </c>
      <c r="D42" s="29">
        <f>SJ!N8</f>
        <v>13114100</v>
      </c>
      <c r="E42" s="10"/>
      <c r="F42" s="10">
        <f>SUM(F41+D42)</f>
        <v>30874100</v>
      </c>
      <c r="G42" s="10"/>
    </row>
    <row r="43" spans="1:7">
      <c r="A43" s="5">
        <v>31</v>
      </c>
      <c r="B43" s="5" t="s">
        <v>169</v>
      </c>
      <c r="C43" s="4" t="s">
        <v>170</v>
      </c>
      <c r="D43" s="10"/>
      <c r="E43" s="29">
        <f>CRJ!O8</f>
        <v>24546100</v>
      </c>
      <c r="F43" s="133">
        <f>SUM(F42-E43)</f>
        <v>6328000</v>
      </c>
      <c r="G43" s="10"/>
    </row>
    <row r="44" spans="1:7">
      <c r="A44" s="5"/>
      <c r="B44" s="5"/>
      <c r="C44" s="4"/>
      <c r="D44" s="10"/>
      <c r="E44" s="10"/>
      <c r="F44" s="10"/>
      <c r="G44" s="10"/>
    </row>
    <row r="45" spans="1:7">
      <c r="A45" s="5"/>
      <c r="B45" s="5"/>
      <c r="C45" s="4"/>
      <c r="D45" s="10"/>
      <c r="E45" s="10"/>
      <c r="F45" s="10"/>
      <c r="G45" s="10"/>
    </row>
    <row r="46" spans="1:7">
      <c r="A46" s="5"/>
      <c r="B46" s="5"/>
      <c r="C46" s="4"/>
      <c r="D46" s="10"/>
      <c r="E46" s="10"/>
      <c r="F46" s="10"/>
      <c r="G46" s="10"/>
    </row>
    <row r="47" spans="1:7">
      <c r="A47" s="5"/>
      <c r="B47" s="5"/>
      <c r="C47" s="4"/>
      <c r="D47" s="10"/>
      <c r="E47" s="10"/>
      <c r="F47" s="10"/>
      <c r="G47" s="10"/>
    </row>
    <row r="48" spans="1:7">
      <c r="C48" s="7"/>
    </row>
    <row r="49" spans="1:7">
      <c r="C49" s="7"/>
    </row>
    <row r="50" spans="1:7">
      <c r="A50" t="s">
        <v>166</v>
      </c>
      <c r="B50" t="s">
        <v>175</v>
      </c>
      <c r="C50" s="7"/>
    </row>
    <row r="51" spans="1:7">
      <c r="A51" t="s">
        <v>167</v>
      </c>
      <c r="B51" t="s">
        <v>11</v>
      </c>
      <c r="C51" s="7"/>
    </row>
    <row r="52" spans="1:7">
      <c r="C52" s="7"/>
    </row>
    <row r="53" spans="1:7">
      <c r="A53" s="145" t="s">
        <v>64</v>
      </c>
      <c r="B53" s="145" t="s">
        <v>66</v>
      </c>
      <c r="C53" s="145" t="s">
        <v>67</v>
      </c>
      <c r="D53" s="145" t="s">
        <v>68</v>
      </c>
      <c r="E53" s="145" t="s">
        <v>69</v>
      </c>
      <c r="F53" s="145" t="s">
        <v>130</v>
      </c>
      <c r="G53" s="145"/>
    </row>
    <row r="54" spans="1:7">
      <c r="A54" s="145"/>
      <c r="B54" s="145"/>
      <c r="C54" s="145"/>
      <c r="D54" s="145"/>
      <c r="E54" s="145"/>
      <c r="F54" s="9" t="s">
        <v>68</v>
      </c>
      <c r="G54" s="9" t="s">
        <v>69</v>
      </c>
    </row>
    <row r="55" spans="1:7">
      <c r="A55" s="5" t="s">
        <v>113</v>
      </c>
      <c r="B55" s="5"/>
      <c r="C55" s="4"/>
      <c r="D55" s="10"/>
      <c r="E55" s="10"/>
      <c r="F55" s="10"/>
      <c r="G55" s="10"/>
    </row>
    <row r="56" spans="1:7">
      <c r="A56" s="5">
        <v>1</v>
      </c>
      <c r="B56" s="5" t="s">
        <v>168</v>
      </c>
      <c r="C56" s="37" t="s">
        <v>147</v>
      </c>
      <c r="D56" s="10"/>
      <c r="E56" s="10"/>
      <c r="F56" s="10"/>
      <c r="G56" s="11">
        <f>'TB AWAL'!D9</f>
        <v>2500000</v>
      </c>
    </row>
    <row r="57" spans="1:7">
      <c r="A57" s="5"/>
      <c r="B57" s="5"/>
      <c r="C57" s="4"/>
      <c r="D57" s="10"/>
      <c r="E57" s="10"/>
      <c r="F57" s="10"/>
      <c r="G57" s="10"/>
    </row>
    <row r="58" spans="1:7">
      <c r="A58" s="5"/>
      <c r="B58" s="5"/>
      <c r="C58" s="4"/>
      <c r="D58" s="10"/>
      <c r="E58" s="10"/>
      <c r="F58" s="10"/>
      <c r="G58" s="10"/>
    </row>
    <row r="59" spans="1:7">
      <c r="A59" s="5"/>
      <c r="B59" s="5"/>
      <c r="C59" s="4"/>
      <c r="D59" s="10"/>
      <c r="E59" s="10"/>
      <c r="F59" s="10"/>
      <c r="G59" s="10"/>
    </row>
    <row r="60" spans="1:7">
      <c r="A60" s="5"/>
      <c r="B60" s="5"/>
      <c r="C60" s="4"/>
      <c r="D60" s="10"/>
      <c r="E60" s="10"/>
      <c r="F60" s="10"/>
      <c r="G60" s="10"/>
    </row>
    <row r="61" spans="1:7">
      <c r="A61" s="5"/>
      <c r="B61" s="5"/>
      <c r="C61" s="4"/>
      <c r="D61" s="10"/>
      <c r="E61" s="10"/>
      <c r="F61" s="10"/>
      <c r="G61" s="10"/>
    </row>
    <row r="62" spans="1:7">
      <c r="A62" s="5"/>
      <c r="B62" s="5"/>
      <c r="C62" s="4"/>
      <c r="D62" s="10"/>
      <c r="E62" s="10"/>
      <c r="F62" s="10"/>
      <c r="G62" s="10"/>
    </row>
    <row r="63" spans="1:7">
      <c r="C63" s="7"/>
    </row>
    <row r="64" spans="1:7">
      <c r="C64" s="7"/>
    </row>
    <row r="65" spans="1:7">
      <c r="A65" t="s">
        <v>166</v>
      </c>
      <c r="B65" t="s">
        <v>105</v>
      </c>
      <c r="C65" s="7"/>
    </row>
    <row r="66" spans="1:7">
      <c r="A66" t="s">
        <v>167</v>
      </c>
      <c r="B66" t="s">
        <v>13</v>
      </c>
      <c r="C66" s="7"/>
    </row>
    <row r="67" spans="1:7">
      <c r="C67" s="7"/>
    </row>
    <row r="68" spans="1:7">
      <c r="A68" s="145" t="s">
        <v>64</v>
      </c>
      <c r="B68" s="145" t="s">
        <v>66</v>
      </c>
      <c r="C68" s="145" t="s">
        <v>67</v>
      </c>
      <c r="D68" s="145" t="s">
        <v>68</v>
      </c>
      <c r="E68" s="145" t="s">
        <v>69</v>
      </c>
      <c r="F68" s="145" t="s">
        <v>130</v>
      </c>
      <c r="G68" s="145"/>
    </row>
    <row r="69" spans="1:7">
      <c r="A69" s="145"/>
      <c r="B69" s="145"/>
      <c r="C69" s="145"/>
      <c r="D69" s="145"/>
      <c r="E69" s="145"/>
      <c r="F69" s="9" t="s">
        <v>68</v>
      </c>
      <c r="G69" s="9" t="s">
        <v>69</v>
      </c>
    </row>
    <row r="70" spans="1:7">
      <c r="A70" s="5" t="s">
        <v>113</v>
      </c>
      <c r="B70" s="5"/>
      <c r="C70" s="4"/>
      <c r="D70" s="10"/>
      <c r="E70" s="10"/>
      <c r="F70" s="10"/>
      <c r="G70" s="10"/>
    </row>
    <row r="71" spans="1:7">
      <c r="A71" s="5">
        <v>1</v>
      </c>
      <c r="B71" s="5" t="s">
        <v>168</v>
      </c>
      <c r="C71" s="37" t="s">
        <v>147</v>
      </c>
      <c r="D71" s="10"/>
      <c r="E71" s="10"/>
      <c r="F71" s="10">
        <f>'TB AWAL'!C10</f>
        <v>7283500</v>
      </c>
      <c r="G71" s="10"/>
    </row>
    <row r="72" spans="1:7">
      <c r="A72" s="5">
        <v>31</v>
      </c>
      <c r="B72" s="5" t="s">
        <v>169</v>
      </c>
      <c r="C72" s="4" t="s">
        <v>176</v>
      </c>
      <c r="D72" s="29">
        <f>PJ!N8</f>
        <v>18655000</v>
      </c>
      <c r="E72" s="10"/>
      <c r="F72" s="10">
        <f>SUM(F71+D72)</f>
        <v>25938500</v>
      </c>
      <c r="G72" s="10"/>
    </row>
    <row r="73" spans="1:7">
      <c r="A73" s="5">
        <v>31</v>
      </c>
      <c r="B73" s="5" t="s">
        <v>169</v>
      </c>
      <c r="C73" s="4" t="s">
        <v>174</v>
      </c>
      <c r="D73" s="10"/>
      <c r="E73" s="29">
        <f>SJ!P8</f>
        <v>10320000</v>
      </c>
      <c r="F73" s="10">
        <f t="shared" ref="F73:F75" si="0">SUM(F72-E73)</f>
        <v>15618500</v>
      </c>
      <c r="G73" s="10"/>
    </row>
    <row r="74" spans="1:7">
      <c r="A74" s="5">
        <v>31</v>
      </c>
      <c r="B74" s="5" t="s">
        <v>169</v>
      </c>
      <c r="C74" s="4" t="s">
        <v>170</v>
      </c>
      <c r="D74" s="10"/>
      <c r="E74" s="29">
        <f>CRJ!O9</f>
        <v>11772500</v>
      </c>
      <c r="F74" s="10">
        <f t="shared" si="0"/>
        <v>3846000</v>
      </c>
      <c r="G74" s="10"/>
    </row>
    <row r="75" spans="1:7">
      <c r="A75" s="5">
        <v>31</v>
      </c>
      <c r="B75" s="5" t="s">
        <v>169</v>
      </c>
      <c r="C75" s="4" t="s">
        <v>177</v>
      </c>
      <c r="D75" s="10"/>
      <c r="E75" s="10">
        <f>GJ!L8</f>
        <v>85000</v>
      </c>
      <c r="F75" s="11">
        <f t="shared" si="0"/>
        <v>3761000</v>
      </c>
      <c r="G75" s="10"/>
    </row>
    <row r="76" spans="1:7">
      <c r="A76" s="5"/>
      <c r="B76" s="5"/>
      <c r="C76" s="4"/>
      <c r="D76" s="10"/>
      <c r="E76" s="10"/>
      <c r="F76" s="10"/>
      <c r="G76" s="10"/>
    </row>
    <row r="77" spans="1:7">
      <c r="A77" s="5"/>
      <c r="B77" s="5"/>
      <c r="C77" s="4"/>
      <c r="D77" s="10"/>
      <c r="E77" s="10"/>
      <c r="F77" s="10"/>
      <c r="G77" s="10"/>
    </row>
    <row r="78" spans="1:7">
      <c r="C78" s="7"/>
    </row>
    <row r="79" spans="1:7">
      <c r="C79" s="7"/>
    </row>
    <row r="80" spans="1:7">
      <c r="A80" t="s">
        <v>166</v>
      </c>
      <c r="B80" t="s">
        <v>178</v>
      </c>
      <c r="C80" s="7"/>
    </row>
    <row r="81" spans="1:7">
      <c r="A81" t="s">
        <v>167</v>
      </c>
      <c r="B81" t="s">
        <v>15</v>
      </c>
      <c r="C81" s="7"/>
    </row>
    <row r="82" spans="1:7">
      <c r="C82" s="7"/>
    </row>
    <row r="83" spans="1:7">
      <c r="A83" s="145" t="s">
        <v>64</v>
      </c>
      <c r="B83" s="145" t="s">
        <v>66</v>
      </c>
      <c r="C83" s="145" t="s">
        <v>67</v>
      </c>
      <c r="D83" s="145" t="s">
        <v>68</v>
      </c>
      <c r="E83" s="145" t="s">
        <v>69</v>
      </c>
      <c r="F83" s="145" t="s">
        <v>130</v>
      </c>
      <c r="G83" s="145"/>
    </row>
    <row r="84" spans="1:7">
      <c r="A84" s="145"/>
      <c r="B84" s="145"/>
      <c r="C84" s="145"/>
      <c r="D84" s="145"/>
      <c r="E84" s="145"/>
      <c r="F84" s="9" t="s">
        <v>68</v>
      </c>
      <c r="G84" s="9" t="s">
        <v>69</v>
      </c>
    </row>
    <row r="85" spans="1:7">
      <c r="A85" s="5" t="s">
        <v>113</v>
      </c>
      <c r="B85" s="5"/>
      <c r="C85" s="4"/>
      <c r="D85" s="10"/>
      <c r="E85" s="10"/>
      <c r="F85" s="10"/>
      <c r="G85" s="10"/>
    </row>
    <row r="86" spans="1:7">
      <c r="A86" s="5">
        <v>1</v>
      </c>
      <c r="B86" s="5" t="s">
        <v>168</v>
      </c>
      <c r="C86" s="4" t="s">
        <v>147</v>
      </c>
      <c r="D86" s="10"/>
      <c r="E86" s="10"/>
      <c r="F86" s="10">
        <f>'TB AWAL'!C11</f>
        <v>3720000</v>
      </c>
      <c r="G86" s="10"/>
    </row>
    <row r="87" spans="1:7">
      <c r="A87" s="5">
        <v>31</v>
      </c>
      <c r="B87" s="5" t="s">
        <v>169</v>
      </c>
      <c r="C87" s="4" t="s">
        <v>173</v>
      </c>
      <c r="D87" s="29">
        <f>PC!L8</f>
        <v>448100</v>
      </c>
      <c r="E87" s="10"/>
      <c r="F87" s="11">
        <f>SUM(F86+D87)</f>
        <v>4168100</v>
      </c>
      <c r="G87" s="10"/>
    </row>
    <row r="88" spans="1:7">
      <c r="A88" s="5"/>
      <c r="B88" s="5"/>
      <c r="C88" s="4"/>
      <c r="D88" s="10"/>
      <c r="E88" s="10"/>
      <c r="F88" s="10"/>
      <c r="G88" s="10"/>
    </row>
    <row r="89" spans="1:7">
      <c r="A89" s="5"/>
      <c r="B89" s="5"/>
      <c r="C89" s="4"/>
      <c r="D89" s="10"/>
      <c r="E89" s="10"/>
      <c r="F89" s="10"/>
      <c r="G89" s="10"/>
    </row>
    <row r="90" spans="1:7">
      <c r="A90" s="5"/>
      <c r="B90" s="5"/>
      <c r="C90" s="4"/>
      <c r="D90" s="10"/>
      <c r="E90" s="10"/>
      <c r="F90" s="10"/>
      <c r="G90" s="10"/>
    </row>
    <row r="91" spans="1:7">
      <c r="A91" s="5"/>
      <c r="B91" s="5"/>
      <c r="C91" s="4"/>
      <c r="D91" s="10"/>
      <c r="E91" s="10"/>
      <c r="F91" s="10"/>
      <c r="G91" s="10"/>
    </row>
    <row r="92" spans="1:7">
      <c r="A92" s="5"/>
      <c r="B92" s="5"/>
      <c r="C92" s="4"/>
      <c r="D92" s="10"/>
      <c r="E92" s="10"/>
      <c r="F92" s="10"/>
      <c r="G92" s="10"/>
    </row>
    <row r="93" spans="1:7">
      <c r="C93" s="7"/>
    </row>
    <row r="94" spans="1:7">
      <c r="C94" s="7"/>
    </row>
    <row r="95" spans="1:7">
      <c r="A95" t="s">
        <v>166</v>
      </c>
      <c r="B95" t="s">
        <v>179</v>
      </c>
      <c r="C95" s="7"/>
    </row>
    <row r="96" spans="1:7">
      <c r="A96" t="s">
        <v>167</v>
      </c>
      <c r="B96" t="s">
        <v>17</v>
      </c>
      <c r="C96" s="7"/>
    </row>
    <row r="97" spans="1:7">
      <c r="C97" s="7"/>
    </row>
    <row r="98" spans="1:7">
      <c r="A98" s="145" t="s">
        <v>64</v>
      </c>
      <c r="B98" s="145" t="s">
        <v>66</v>
      </c>
      <c r="C98" s="145" t="s">
        <v>67</v>
      </c>
      <c r="D98" s="145" t="s">
        <v>68</v>
      </c>
      <c r="E98" s="145" t="s">
        <v>69</v>
      </c>
      <c r="F98" s="145" t="s">
        <v>130</v>
      </c>
      <c r="G98" s="145"/>
    </row>
    <row r="99" spans="1:7">
      <c r="A99" s="145"/>
      <c r="B99" s="145"/>
      <c r="C99" s="145"/>
      <c r="D99" s="145"/>
      <c r="E99" s="145"/>
      <c r="F99" s="9" t="s">
        <v>68</v>
      </c>
      <c r="G99" s="9" t="s">
        <v>69</v>
      </c>
    </row>
    <row r="100" spans="1:7">
      <c r="A100" s="5" t="s">
        <v>113</v>
      </c>
      <c r="B100" s="5"/>
      <c r="C100" s="4"/>
      <c r="D100" s="5"/>
      <c r="E100" s="5"/>
      <c r="F100" s="5"/>
      <c r="G100" s="5"/>
    </row>
    <row r="101" spans="1:7">
      <c r="A101" s="5">
        <v>1</v>
      </c>
      <c r="B101" s="5" t="s">
        <v>168</v>
      </c>
      <c r="C101" s="4" t="s">
        <v>147</v>
      </c>
      <c r="D101" s="5"/>
      <c r="E101" s="5"/>
      <c r="F101" s="102">
        <f>'TB AWAL'!C12</f>
        <v>1230000</v>
      </c>
      <c r="G101" s="5"/>
    </row>
    <row r="102" spans="1:7">
      <c r="A102" s="5"/>
      <c r="B102" s="5"/>
      <c r="C102" s="4"/>
      <c r="D102" s="5"/>
      <c r="E102" s="5"/>
      <c r="F102" s="5"/>
      <c r="G102" s="5"/>
    </row>
    <row r="103" spans="1:7">
      <c r="A103" s="5"/>
      <c r="B103" s="5"/>
      <c r="C103" s="4"/>
      <c r="D103" s="5"/>
      <c r="E103" s="5"/>
      <c r="F103" s="5"/>
      <c r="G103" s="5"/>
    </row>
    <row r="104" spans="1:7">
      <c r="A104" s="5"/>
      <c r="B104" s="5"/>
      <c r="C104" s="4"/>
      <c r="D104" s="5"/>
      <c r="E104" s="5"/>
      <c r="F104" s="5"/>
      <c r="G104" s="5"/>
    </row>
    <row r="105" spans="1:7">
      <c r="A105" s="5"/>
      <c r="B105" s="5"/>
      <c r="C105" s="4"/>
      <c r="D105" s="5"/>
      <c r="E105" s="5"/>
      <c r="F105" s="5"/>
      <c r="G105" s="5"/>
    </row>
    <row r="106" spans="1:7">
      <c r="A106" s="5"/>
      <c r="B106" s="5"/>
      <c r="C106" s="4"/>
      <c r="D106" s="5"/>
      <c r="E106" s="5"/>
      <c r="F106" s="5"/>
      <c r="G106" s="5"/>
    </row>
    <row r="107" spans="1:7">
      <c r="A107" s="5"/>
      <c r="B107" s="5"/>
      <c r="C107" s="4"/>
      <c r="D107" s="5"/>
      <c r="E107" s="5"/>
      <c r="F107" s="5"/>
      <c r="G107" s="5"/>
    </row>
    <row r="108" spans="1:7">
      <c r="C108" s="7"/>
    </row>
    <row r="109" spans="1:7">
      <c r="C109" s="7"/>
    </row>
    <row r="110" spans="1:7">
      <c r="A110" t="s">
        <v>166</v>
      </c>
      <c r="B110" t="s">
        <v>180</v>
      </c>
      <c r="C110" s="7"/>
    </row>
    <row r="111" spans="1:7">
      <c r="A111" t="s">
        <v>167</v>
      </c>
      <c r="B111" s="30" t="s">
        <v>19</v>
      </c>
      <c r="C111" s="7"/>
    </row>
    <row r="112" spans="1:7">
      <c r="C112" s="7"/>
    </row>
    <row r="113" spans="1:7">
      <c r="A113" s="145" t="s">
        <v>64</v>
      </c>
      <c r="B113" s="145" t="s">
        <v>66</v>
      </c>
      <c r="C113" s="145" t="s">
        <v>67</v>
      </c>
      <c r="D113" s="145" t="s">
        <v>68</v>
      </c>
      <c r="E113" s="145" t="s">
        <v>69</v>
      </c>
      <c r="F113" s="145" t="s">
        <v>130</v>
      </c>
      <c r="G113" s="145"/>
    </row>
    <row r="114" spans="1:7">
      <c r="A114" s="145"/>
      <c r="B114" s="145"/>
      <c r="C114" s="145"/>
      <c r="D114" s="145"/>
      <c r="E114" s="145"/>
      <c r="F114" s="9" t="s">
        <v>68</v>
      </c>
      <c r="G114" s="9" t="s">
        <v>69</v>
      </c>
    </row>
    <row r="115" spans="1:7">
      <c r="A115" s="9" t="s">
        <v>113</v>
      </c>
      <c r="B115" s="9"/>
      <c r="C115" s="9"/>
      <c r="D115" s="9"/>
      <c r="E115" s="9"/>
      <c r="F115" s="31"/>
      <c r="G115" s="9"/>
    </row>
    <row r="116" spans="1:7">
      <c r="A116" s="5">
        <v>1</v>
      </c>
      <c r="B116" s="5" t="s">
        <v>168</v>
      </c>
      <c r="C116" s="4" t="s">
        <v>147</v>
      </c>
      <c r="D116" s="5"/>
      <c r="E116" s="5"/>
      <c r="F116" s="102">
        <f>'TB AWAL'!C13</f>
        <v>7245000</v>
      </c>
      <c r="G116" s="5"/>
    </row>
    <row r="117" spans="1:7">
      <c r="A117" s="5"/>
      <c r="B117" s="5"/>
      <c r="C117" s="4"/>
      <c r="D117" s="5"/>
      <c r="E117" s="5"/>
      <c r="F117" s="5"/>
      <c r="G117" s="5"/>
    </row>
    <row r="118" spans="1:7">
      <c r="A118" s="5"/>
      <c r="B118" s="5"/>
      <c r="C118" s="4"/>
      <c r="D118" s="5"/>
      <c r="E118" s="5"/>
      <c r="F118" s="5"/>
      <c r="G118" s="5"/>
    </row>
    <row r="119" spans="1:7">
      <c r="A119" s="5"/>
      <c r="B119" s="5"/>
      <c r="C119" s="4"/>
      <c r="D119" s="5"/>
      <c r="E119" s="5"/>
      <c r="F119" s="5"/>
      <c r="G119" s="5"/>
    </row>
    <row r="120" spans="1:7">
      <c r="A120" s="5"/>
      <c r="B120" s="5"/>
      <c r="C120" s="4"/>
      <c r="D120" s="5"/>
      <c r="E120" s="5"/>
      <c r="F120" s="5"/>
      <c r="G120" s="5"/>
    </row>
    <row r="121" spans="1:7">
      <c r="A121" s="5"/>
      <c r="B121" s="5"/>
      <c r="C121" s="4"/>
      <c r="D121" s="5"/>
      <c r="E121" s="5"/>
      <c r="F121" s="5"/>
      <c r="G121" s="5"/>
    </row>
    <row r="122" spans="1:7">
      <c r="A122" s="5"/>
      <c r="B122" s="5"/>
      <c r="C122" s="4"/>
      <c r="D122" s="5"/>
      <c r="E122" s="5"/>
      <c r="F122" s="5"/>
      <c r="G122" s="5"/>
    </row>
    <row r="123" spans="1:7">
      <c r="A123" s="5"/>
      <c r="B123" s="5"/>
      <c r="C123" s="4"/>
      <c r="D123" s="5"/>
      <c r="E123" s="5"/>
      <c r="F123" s="5"/>
      <c r="G123" s="5"/>
    </row>
    <row r="124" spans="1:7">
      <c r="C124" s="7"/>
    </row>
    <row r="125" spans="1:7">
      <c r="C125" s="7"/>
    </row>
    <row r="126" spans="1:7">
      <c r="A126" t="s">
        <v>166</v>
      </c>
      <c r="B126" t="s">
        <v>181</v>
      </c>
      <c r="C126" s="7"/>
    </row>
    <row r="127" spans="1:7">
      <c r="A127" t="s">
        <v>167</v>
      </c>
      <c r="B127" s="30" t="s">
        <v>21</v>
      </c>
      <c r="C127" s="7"/>
    </row>
    <row r="128" spans="1:7">
      <c r="C128" s="7"/>
    </row>
    <row r="129" spans="1:7">
      <c r="A129" s="145" t="s">
        <v>64</v>
      </c>
      <c r="B129" s="145" t="s">
        <v>66</v>
      </c>
      <c r="C129" s="145" t="s">
        <v>67</v>
      </c>
      <c r="D129" s="145" t="s">
        <v>68</v>
      </c>
      <c r="E129" s="145" t="s">
        <v>69</v>
      </c>
      <c r="F129" s="145" t="s">
        <v>130</v>
      </c>
      <c r="G129" s="145"/>
    </row>
    <row r="130" spans="1:7">
      <c r="A130" s="145"/>
      <c r="B130" s="145"/>
      <c r="C130" s="145"/>
      <c r="D130" s="145"/>
      <c r="E130" s="145"/>
      <c r="F130" s="9" t="s">
        <v>68</v>
      </c>
      <c r="G130" s="9" t="s">
        <v>69</v>
      </c>
    </row>
    <row r="131" spans="1:7">
      <c r="A131" s="5" t="s">
        <v>113</v>
      </c>
      <c r="B131" s="5"/>
      <c r="C131" s="4"/>
      <c r="D131" s="10"/>
      <c r="E131" s="10"/>
      <c r="F131" s="10"/>
      <c r="G131" s="10"/>
    </row>
    <row r="132" spans="1:7">
      <c r="A132" s="5">
        <v>1</v>
      </c>
      <c r="B132" s="5" t="s">
        <v>168</v>
      </c>
      <c r="C132" s="4" t="s">
        <v>147</v>
      </c>
      <c r="D132" s="10"/>
      <c r="E132" s="10"/>
      <c r="F132" s="10"/>
      <c r="G132" s="11">
        <f>'TB AWAL'!D14</f>
        <v>3421250</v>
      </c>
    </row>
    <row r="133" spans="1:7">
      <c r="A133" s="5"/>
      <c r="B133" s="5"/>
      <c r="C133" s="4"/>
      <c r="D133" s="10"/>
      <c r="E133" s="10"/>
      <c r="F133" s="10"/>
      <c r="G133" s="10"/>
    </row>
    <row r="134" spans="1:7">
      <c r="A134" s="5"/>
      <c r="B134" s="5"/>
      <c r="C134" s="4"/>
      <c r="D134" s="10"/>
      <c r="E134" s="10"/>
      <c r="F134" s="10"/>
      <c r="G134" s="10"/>
    </row>
    <row r="135" spans="1:7">
      <c r="A135" s="5"/>
      <c r="B135" s="5"/>
      <c r="C135" s="4"/>
      <c r="D135" s="10"/>
      <c r="E135" s="10"/>
      <c r="F135" s="10"/>
      <c r="G135" s="10"/>
    </row>
    <row r="136" spans="1:7">
      <c r="A136" s="5"/>
      <c r="B136" s="5"/>
      <c r="C136" s="4"/>
      <c r="D136" s="10"/>
      <c r="E136" s="10"/>
      <c r="F136" s="10"/>
      <c r="G136" s="10"/>
    </row>
    <row r="137" spans="1:7">
      <c r="A137" s="5"/>
      <c r="B137" s="5"/>
      <c r="C137" s="4"/>
      <c r="D137" s="10"/>
      <c r="E137" s="10"/>
      <c r="F137" s="10"/>
      <c r="G137" s="10"/>
    </row>
    <row r="138" spans="1:7">
      <c r="A138" s="5"/>
      <c r="B138" s="5"/>
      <c r="C138" s="4"/>
      <c r="D138" s="10"/>
      <c r="E138" s="10"/>
      <c r="F138" s="10"/>
      <c r="G138" s="10"/>
    </row>
    <row r="139" spans="1:7">
      <c r="C139" s="7"/>
    </row>
    <row r="140" spans="1:7">
      <c r="C140" s="7"/>
    </row>
    <row r="141" spans="1:7">
      <c r="A141" t="s">
        <v>166</v>
      </c>
      <c r="B141" t="s">
        <v>90</v>
      </c>
      <c r="C141" s="7"/>
    </row>
    <row r="142" spans="1:7">
      <c r="A142" t="s">
        <v>167</v>
      </c>
      <c r="B142" s="30" t="s">
        <v>23</v>
      </c>
      <c r="C142" s="7"/>
    </row>
    <row r="143" spans="1:7">
      <c r="C143" s="7"/>
    </row>
    <row r="144" spans="1:7">
      <c r="A144" s="145" t="s">
        <v>64</v>
      </c>
      <c r="B144" s="145" t="s">
        <v>66</v>
      </c>
      <c r="C144" s="145" t="s">
        <v>67</v>
      </c>
      <c r="D144" s="145" t="s">
        <v>68</v>
      </c>
      <c r="E144" s="145" t="s">
        <v>69</v>
      </c>
      <c r="F144" s="145" t="s">
        <v>130</v>
      </c>
      <c r="G144" s="145"/>
    </row>
    <row r="145" spans="1:7">
      <c r="A145" s="145"/>
      <c r="B145" s="145"/>
      <c r="C145" s="145"/>
      <c r="D145" s="145"/>
      <c r="E145" s="145"/>
      <c r="F145" s="9" t="s">
        <v>68</v>
      </c>
      <c r="G145" s="9" t="s">
        <v>69</v>
      </c>
    </row>
    <row r="146" spans="1:7">
      <c r="A146" s="5" t="s">
        <v>113</v>
      </c>
      <c r="B146" s="5"/>
      <c r="C146" s="4"/>
      <c r="D146" s="10"/>
      <c r="E146" s="10"/>
      <c r="F146" s="10"/>
      <c r="G146" s="10"/>
    </row>
    <row r="147" spans="1:7">
      <c r="A147" s="5">
        <v>1</v>
      </c>
      <c r="B147" s="5" t="s">
        <v>168</v>
      </c>
      <c r="C147" s="4" t="s">
        <v>147</v>
      </c>
      <c r="D147" s="10"/>
      <c r="E147" s="10"/>
      <c r="F147" s="10"/>
      <c r="G147" s="10">
        <f>'TB AWAL'!D15</f>
        <v>12543000</v>
      </c>
    </row>
    <row r="148" spans="1:7">
      <c r="A148" s="5">
        <v>31</v>
      </c>
      <c r="B148" s="5" t="s">
        <v>169</v>
      </c>
      <c r="C148" s="4" t="s">
        <v>171</v>
      </c>
      <c r="D148" s="29">
        <f>CPJ!M8</f>
        <v>2442000</v>
      </c>
      <c r="E148" s="10"/>
      <c r="F148" s="10"/>
      <c r="G148" s="10">
        <f>SUM(G147-D148)</f>
        <v>10101000</v>
      </c>
    </row>
    <row r="149" spans="1:7">
      <c r="A149" s="5">
        <v>31</v>
      </c>
      <c r="B149" s="5" t="s">
        <v>169</v>
      </c>
      <c r="C149" s="4" t="s">
        <v>176</v>
      </c>
      <c r="D149" s="10"/>
      <c r="E149" s="29">
        <f>PJ!P8</f>
        <v>21373450</v>
      </c>
      <c r="F149" s="10"/>
      <c r="G149" s="10">
        <f>SUM(G148+E149)</f>
        <v>31474450</v>
      </c>
    </row>
    <row r="150" spans="1:7">
      <c r="A150" s="5">
        <v>31</v>
      </c>
      <c r="B150" s="5" t="s">
        <v>169</v>
      </c>
      <c r="C150" s="4" t="s">
        <v>177</v>
      </c>
      <c r="D150" s="10">
        <f>GJ!J8</f>
        <v>94350</v>
      </c>
      <c r="E150" s="10"/>
      <c r="F150" s="10"/>
      <c r="G150" s="11">
        <f>SUM(G149-D150)</f>
        <v>31380100</v>
      </c>
    </row>
    <row r="151" spans="1:7">
      <c r="A151" s="5"/>
      <c r="B151" s="5"/>
      <c r="C151" s="4"/>
      <c r="D151" s="10"/>
      <c r="E151" s="10"/>
      <c r="F151" s="10"/>
      <c r="G151" s="10"/>
    </row>
    <row r="152" spans="1:7">
      <c r="A152" s="5"/>
      <c r="B152" s="5"/>
      <c r="C152" s="4"/>
      <c r="D152" s="10"/>
      <c r="E152" s="10"/>
      <c r="F152" s="10"/>
      <c r="G152" s="10"/>
    </row>
    <row r="153" spans="1:7">
      <c r="A153" s="5"/>
      <c r="B153" s="5"/>
      <c r="C153" s="4"/>
      <c r="D153" s="5"/>
      <c r="E153" s="5"/>
      <c r="F153" s="5"/>
      <c r="G153" s="5"/>
    </row>
    <row r="154" spans="1:7">
      <c r="C154" s="7"/>
    </row>
    <row r="155" spans="1:7">
      <c r="C155" s="7"/>
    </row>
    <row r="156" spans="1:7">
      <c r="A156" t="s">
        <v>166</v>
      </c>
      <c r="B156" t="s">
        <v>182</v>
      </c>
      <c r="C156" s="7"/>
    </row>
    <row r="157" spans="1:7">
      <c r="A157" t="s">
        <v>167</v>
      </c>
      <c r="B157" t="s">
        <v>25</v>
      </c>
      <c r="C157" s="7"/>
    </row>
    <row r="158" spans="1:7">
      <c r="C158" s="7"/>
    </row>
    <row r="159" spans="1:7">
      <c r="A159" s="145" t="s">
        <v>64</v>
      </c>
      <c r="B159" s="145" t="s">
        <v>66</v>
      </c>
      <c r="C159" s="145" t="s">
        <v>67</v>
      </c>
      <c r="D159" s="145" t="s">
        <v>68</v>
      </c>
      <c r="E159" s="145" t="s">
        <v>69</v>
      </c>
      <c r="F159" s="145" t="s">
        <v>130</v>
      </c>
      <c r="G159" s="145"/>
    </row>
    <row r="160" spans="1:7">
      <c r="A160" s="145"/>
      <c r="B160" s="145"/>
      <c r="C160" s="145"/>
      <c r="D160" s="145"/>
      <c r="E160" s="145"/>
      <c r="F160" s="9" t="s">
        <v>68</v>
      </c>
      <c r="G160" s="9" t="s">
        <v>69</v>
      </c>
    </row>
    <row r="161" spans="1:7">
      <c r="A161" s="5" t="s">
        <v>113</v>
      </c>
      <c r="B161" s="5"/>
      <c r="C161" s="4"/>
      <c r="D161" s="32"/>
      <c r="E161" s="32"/>
      <c r="F161" s="32"/>
      <c r="G161" s="32"/>
    </row>
    <row r="162" spans="1:7">
      <c r="A162" s="5">
        <v>1</v>
      </c>
      <c r="B162" s="5" t="s">
        <v>168</v>
      </c>
      <c r="C162" s="4" t="s">
        <v>147</v>
      </c>
      <c r="D162" s="32"/>
      <c r="E162" s="32"/>
      <c r="F162" s="32"/>
      <c r="G162" s="32">
        <f>'TB AWAL'!D16</f>
        <v>4405000</v>
      </c>
    </row>
    <row r="163" spans="1:7">
      <c r="A163" s="5">
        <v>31</v>
      </c>
      <c r="B163" s="5" t="s">
        <v>169</v>
      </c>
      <c r="C163" s="4" t="s">
        <v>171</v>
      </c>
      <c r="D163" s="33">
        <f>CPJ!M9</f>
        <v>1725000</v>
      </c>
      <c r="E163" s="32"/>
      <c r="F163" s="32"/>
      <c r="G163" s="11">
        <f>G162-D163</f>
        <v>2680000</v>
      </c>
    </row>
    <row r="164" spans="1:7">
      <c r="A164" s="5"/>
      <c r="B164" s="5"/>
      <c r="C164" s="4"/>
      <c r="D164" s="32"/>
      <c r="E164" s="32"/>
      <c r="F164" s="32"/>
      <c r="G164" s="32"/>
    </row>
    <row r="165" spans="1:7">
      <c r="A165" s="5"/>
      <c r="B165" s="5"/>
      <c r="C165" s="4"/>
      <c r="D165" s="32"/>
      <c r="E165" s="32"/>
      <c r="F165" s="32"/>
      <c r="G165" s="32"/>
    </row>
    <row r="166" spans="1:7">
      <c r="A166" s="5"/>
      <c r="B166" s="5"/>
      <c r="C166" s="4"/>
      <c r="D166" s="32"/>
      <c r="E166" s="32"/>
      <c r="F166" s="32"/>
      <c r="G166" s="32"/>
    </row>
    <row r="167" spans="1:7">
      <c r="A167" s="5"/>
      <c r="B167" s="5"/>
      <c r="C167" s="4"/>
      <c r="D167" s="32"/>
      <c r="E167" s="32"/>
      <c r="F167" s="32"/>
      <c r="G167" s="32"/>
    </row>
    <row r="168" spans="1:7">
      <c r="A168" s="5"/>
      <c r="B168" s="5"/>
      <c r="C168" s="4"/>
      <c r="D168" s="32"/>
      <c r="E168" s="32"/>
      <c r="F168" s="32"/>
      <c r="G168" s="32"/>
    </row>
    <row r="169" spans="1:7">
      <c r="C169" s="7"/>
    </row>
    <row r="170" spans="1:7">
      <c r="C170" s="7"/>
    </row>
    <row r="171" spans="1:7">
      <c r="A171" t="s">
        <v>166</v>
      </c>
      <c r="B171" t="s">
        <v>183</v>
      </c>
      <c r="C171" s="7"/>
    </row>
    <row r="172" spans="1:7">
      <c r="A172" t="s">
        <v>167</v>
      </c>
      <c r="B172" t="s">
        <v>27</v>
      </c>
      <c r="C172" s="7"/>
    </row>
    <row r="173" spans="1:7">
      <c r="C173" s="7"/>
    </row>
    <row r="174" spans="1:7">
      <c r="A174" s="145" t="s">
        <v>64</v>
      </c>
      <c r="B174" s="145" t="s">
        <v>66</v>
      </c>
      <c r="C174" s="145" t="s">
        <v>67</v>
      </c>
      <c r="D174" s="145" t="s">
        <v>68</v>
      </c>
      <c r="E174" s="145" t="s">
        <v>69</v>
      </c>
      <c r="F174" s="145" t="s">
        <v>130</v>
      </c>
      <c r="G174" s="145"/>
    </row>
    <row r="175" spans="1:7">
      <c r="A175" s="145"/>
      <c r="B175" s="145"/>
      <c r="C175" s="145"/>
      <c r="D175" s="145"/>
      <c r="E175" s="145"/>
      <c r="F175" s="9" t="s">
        <v>68</v>
      </c>
      <c r="G175" s="9" t="s">
        <v>69</v>
      </c>
    </row>
    <row r="176" spans="1:7">
      <c r="A176" s="5"/>
      <c r="B176" s="5"/>
      <c r="C176" s="4"/>
      <c r="D176" s="5"/>
      <c r="E176" s="5"/>
      <c r="F176" s="5"/>
      <c r="G176" s="5"/>
    </row>
    <row r="177" spans="1:7">
      <c r="A177" s="5"/>
      <c r="B177" s="5"/>
      <c r="C177" s="4"/>
      <c r="D177" s="5"/>
      <c r="E177" s="5"/>
      <c r="F177" s="5"/>
      <c r="G177" s="5"/>
    </row>
    <row r="178" spans="1:7">
      <c r="A178" s="5"/>
      <c r="B178" s="5"/>
      <c r="C178" s="4"/>
      <c r="D178" s="5"/>
      <c r="E178" s="5"/>
      <c r="F178" s="5"/>
      <c r="G178" s="5"/>
    </row>
    <row r="179" spans="1:7">
      <c r="A179" s="5"/>
      <c r="B179" s="5"/>
      <c r="C179" s="4"/>
      <c r="D179" s="5"/>
      <c r="E179" s="5"/>
      <c r="F179" s="5"/>
      <c r="G179" s="5"/>
    </row>
    <row r="180" spans="1:7">
      <c r="A180" s="5"/>
      <c r="B180" s="5"/>
      <c r="C180" s="4"/>
      <c r="D180" s="5"/>
      <c r="E180" s="5"/>
      <c r="F180" s="5"/>
      <c r="G180" s="5"/>
    </row>
    <row r="181" spans="1:7">
      <c r="A181" s="5"/>
      <c r="B181" s="5"/>
      <c r="C181" s="4"/>
      <c r="D181" s="5"/>
      <c r="E181" s="5"/>
      <c r="F181" s="5"/>
      <c r="G181" s="5"/>
    </row>
    <row r="182" spans="1:7">
      <c r="A182" s="5"/>
      <c r="B182" s="5"/>
      <c r="C182" s="4"/>
      <c r="D182" s="5"/>
      <c r="E182" s="5"/>
      <c r="F182" s="5"/>
      <c r="G182" s="5"/>
    </row>
    <row r="183" spans="1:7">
      <c r="A183" s="5"/>
      <c r="B183" s="5"/>
      <c r="C183" s="4"/>
      <c r="D183" s="5"/>
      <c r="E183" s="5"/>
      <c r="F183" s="5"/>
      <c r="G183" s="5"/>
    </row>
    <row r="184" spans="1:7">
      <c r="C184" s="7"/>
    </row>
    <row r="185" spans="1:7">
      <c r="C185" s="7"/>
    </row>
    <row r="186" spans="1:7">
      <c r="A186" t="s">
        <v>166</v>
      </c>
      <c r="B186" s="30" t="s">
        <v>184</v>
      </c>
      <c r="C186" s="7"/>
    </row>
    <row r="187" spans="1:7">
      <c r="A187" t="s">
        <v>167</v>
      </c>
      <c r="B187" t="s">
        <v>29</v>
      </c>
      <c r="C187" s="7"/>
    </row>
    <row r="188" spans="1:7">
      <c r="C188" s="7"/>
    </row>
    <row r="189" spans="1:7">
      <c r="A189" s="145" t="s">
        <v>64</v>
      </c>
      <c r="B189" s="145" t="s">
        <v>66</v>
      </c>
      <c r="C189" s="145" t="s">
        <v>67</v>
      </c>
      <c r="D189" s="145" t="s">
        <v>68</v>
      </c>
      <c r="E189" s="145" t="s">
        <v>69</v>
      </c>
      <c r="F189" s="145" t="s">
        <v>130</v>
      </c>
      <c r="G189" s="145"/>
    </row>
    <row r="190" spans="1:7">
      <c r="A190" s="145"/>
      <c r="B190" s="145"/>
      <c r="C190" s="145"/>
      <c r="D190" s="145"/>
      <c r="E190" s="145"/>
      <c r="F190" s="9" t="s">
        <v>68</v>
      </c>
      <c r="G190" s="9" t="s">
        <v>69</v>
      </c>
    </row>
    <row r="191" spans="1:7">
      <c r="A191" s="5" t="s">
        <v>113</v>
      </c>
      <c r="B191" s="5"/>
      <c r="C191" s="4"/>
      <c r="D191" s="10"/>
      <c r="E191" s="10"/>
      <c r="F191" s="10"/>
      <c r="G191" s="10"/>
    </row>
    <row r="192" spans="1:7">
      <c r="A192" s="5">
        <v>1</v>
      </c>
      <c r="B192" s="5" t="s">
        <v>168</v>
      </c>
      <c r="C192" s="4" t="s">
        <v>147</v>
      </c>
      <c r="D192" s="10"/>
      <c r="E192" s="10"/>
      <c r="F192" s="10"/>
      <c r="G192" s="10">
        <f>'TB AWAL'!D18</f>
        <v>1243000</v>
      </c>
    </row>
    <row r="193" spans="1:7">
      <c r="A193" s="5">
        <v>31</v>
      </c>
      <c r="B193" s="5" t="s">
        <v>169</v>
      </c>
      <c r="C193" s="4" t="s">
        <v>174</v>
      </c>
      <c r="D193" s="10"/>
      <c r="E193" s="29">
        <f>SJ!P9</f>
        <v>1238050</v>
      </c>
      <c r="F193" s="10"/>
      <c r="G193" s="10">
        <f>SUM(G192+E193)</f>
        <v>2481050</v>
      </c>
    </row>
    <row r="194" spans="1:7">
      <c r="A194" s="5">
        <v>31</v>
      </c>
      <c r="B194" s="5" t="s">
        <v>169</v>
      </c>
      <c r="C194" s="4" t="s">
        <v>170</v>
      </c>
      <c r="D194" s="10"/>
      <c r="E194" s="29">
        <f>CRJ!O10</f>
        <v>1528725</v>
      </c>
      <c r="F194" s="10"/>
      <c r="G194" s="133">
        <f>SUM(G193+E194)</f>
        <v>4009775</v>
      </c>
    </row>
    <row r="195" spans="1:7">
      <c r="A195" s="5"/>
      <c r="B195" s="5"/>
      <c r="C195" s="4"/>
      <c r="D195" s="10"/>
      <c r="E195" s="10"/>
      <c r="F195" s="10"/>
      <c r="G195" s="10"/>
    </row>
    <row r="196" spans="1:7">
      <c r="A196" s="5"/>
      <c r="B196" s="5"/>
      <c r="C196" s="4"/>
      <c r="D196" s="10"/>
      <c r="E196" s="10"/>
      <c r="F196" s="10"/>
      <c r="G196" s="10"/>
    </row>
    <row r="197" spans="1:7">
      <c r="A197" s="5"/>
      <c r="B197" s="5"/>
      <c r="C197" s="4"/>
      <c r="D197" s="10"/>
      <c r="E197" s="10"/>
      <c r="F197" s="10"/>
      <c r="G197" s="10"/>
    </row>
    <row r="198" spans="1:7">
      <c r="A198" s="5"/>
      <c r="B198" s="5"/>
      <c r="C198" s="4"/>
      <c r="D198" s="10"/>
      <c r="E198" s="10"/>
      <c r="F198" s="10"/>
      <c r="G198" s="10"/>
    </row>
    <row r="199" spans="1:7">
      <c r="C199" s="7"/>
    </row>
    <row r="200" spans="1:7">
      <c r="C200" s="7"/>
    </row>
    <row r="201" spans="1:7">
      <c r="A201" t="s">
        <v>166</v>
      </c>
      <c r="B201" t="s">
        <v>185</v>
      </c>
      <c r="C201" s="7"/>
    </row>
    <row r="202" spans="1:7">
      <c r="A202" t="s">
        <v>167</v>
      </c>
      <c r="B202" s="30" t="s">
        <v>31</v>
      </c>
      <c r="C202" s="7"/>
    </row>
    <row r="203" spans="1:7">
      <c r="C203" s="7"/>
    </row>
    <row r="204" spans="1:7">
      <c r="A204" s="145" t="s">
        <v>64</v>
      </c>
      <c r="B204" s="145" t="s">
        <v>66</v>
      </c>
      <c r="C204" s="145" t="s">
        <v>67</v>
      </c>
      <c r="D204" s="145" t="s">
        <v>68</v>
      </c>
      <c r="E204" s="145" t="s">
        <v>69</v>
      </c>
      <c r="F204" s="145" t="s">
        <v>130</v>
      </c>
      <c r="G204" s="145"/>
    </row>
    <row r="205" spans="1:7">
      <c r="A205" s="145"/>
      <c r="B205" s="145"/>
      <c r="C205" s="145"/>
      <c r="D205" s="145"/>
      <c r="E205" s="145"/>
      <c r="F205" s="9" t="s">
        <v>68</v>
      </c>
      <c r="G205" s="9" t="s">
        <v>69</v>
      </c>
    </row>
    <row r="206" spans="1:7">
      <c r="A206" s="5" t="s">
        <v>113</v>
      </c>
      <c r="B206" s="5"/>
      <c r="C206" s="4"/>
      <c r="D206" s="10"/>
      <c r="E206" s="10"/>
      <c r="F206" s="10"/>
      <c r="G206" s="10"/>
    </row>
    <row r="207" spans="1:7">
      <c r="A207" s="5">
        <v>1</v>
      </c>
      <c r="B207" s="5" t="s">
        <v>168</v>
      </c>
      <c r="C207" s="4" t="s">
        <v>147</v>
      </c>
      <c r="D207" s="10"/>
      <c r="E207" s="10"/>
      <c r="F207" s="10">
        <f>'TB AWAL'!C19</f>
        <v>1254000</v>
      </c>
      <c r="G207" s="10"/>
    </row>
    <row r="208" spans="1:7">
      <c r="A208" s="5">
        <v>31</v>
      </c>
      <c r="B208" s="5" t="s">
        <v>169</v>
      </c>
      <c r="C208" s="4" t="s">
        <v>176</v>
      </c>
      <c r="D208" s="29">
        <f>PJ!N9</f>
        <v>1748450</v>
      </c>
      <c r="E208" s="10"/>
      <c r="F208" s="10">
        <f>SUM(F207+D208)</f>
        <v>3002450</v>
      </c>
      <c r="G208" s="10"/>
    </row>
    <row r="209" spans="1:7">
      <c r="A209" s="5">
        <v>31</v>
      </c>
      <c r="B209" s="5" t="s">
        <v>169</v>
      </c>
      <c r="C209" s="4" t="s">
        <v>177</v>
      </c>
      <c r="D209" s="10"/>
      <c r="E209" s="10">
        <f>GJ!L9</f>
        <v>9350</v>
      </c>
      <c r="F209" s="11">
        <f>SUM(F208-E209)</f>
        <v>2993100</v>
      </c>
      <c r="G209" s="10"/>
    </row>
    <row r="210" spans="1:7">
      <c r="A210" s="5"/>
      <c r="B210" s="5"/>
      <c r="C210" s="4"/>
      <c r="D210" s="10"/>
      <c r="E210" s="10"/>
      <c r="F210" s="10"/>
      <c r="G210" s="10"/>
    </row>
    <row r="211" spans="1:7">
      <c r="A211" s="5"/>
      <c r="B211" s="5"/>
      <c r="C211" s="4"/>
      <c r="D211" s="10"/>
      <c r="E211" s="10"/>
      <c r="F211" s="10"/>
      <c r="G211" s="10"/>
    </row>
    <row r="212" spans="1:7">
      <c r="A212" s="5"/>
      <c r="B212" s="5"/>
      <c r="C212" s="4"/>
      <c r="D212" s="10"/>
      <c r="E212" s="10"/>
      <c r="F212" s="10"/>
      <c r="G212" s="10"/>
    </row>
    <row r="213" spans="1:7">
      <c r="A213" s="5"/>
      <c r="B213" s="5"/>
      <c r="C213" s="4"/>
      <c r="D213" s="10"/>
      <c r="E213" s="10"/>
      <c r="F213" s="10"/>
      <c r="G213" s="10"/>
    </row>
    <row r="214" spans="1:7">
      <c r="C214" s="7"/>
    </row>
    <row r="215" spans="1:7">
      <c r="C215" s="7"/>
    </row>
    <row r="216" spans="1:7">
      <c r="A216" t="s">
        <v>166</v>
      </c>
      <c r="B216" t="s">
        <v>186</v>
      </c>
      <c r="C216" s="7"/>
    </row>
    <row r="217" spans="1:7">
      <c r="A217" t="s">
        <v>167</v>
      </c>
      <c r="B217" s="30" t="s">
        <v>33</v>
      </c>
      <c r="C217" s="7"/>
    </row>
    <row r="218" spans="1:7">
      <c r="C218" s="7"/>
    </row>
    <row r="219" spans="1:7">
      <c r="A219" s="145" t="s">
        <v>64</v>
      </c>
      <c r="B219" s="145" t="s">
        <v>66</v>
      </c>
      <c r="C219" s="145" t="s">
        <v>67</v>
      </c>
      <c r="D219" s="145" t="s">
        <v>68</v>
      </c>
      <c r="E219" s="145" t="s">
        <v>69</v>
      </c>
      <c r="F219" s="145" t="s">
        <v>130</v>
      </c>
      <c r="G219" s="145"/>
    </row>
    <row r="220" spans="1:7">
      <c r="A220" s="145"/>
      <c r="B220" s="145"/>
      <c r="C220" s="145"/>
      <c r="D220" s="145"/>
      <c r="E220" s="145"/>
      <c r="F220" s="9" t="s">
        <v>68</v>
      </c>
      <c r="G220" s="9" t="s">
        <v>69</v>
      </c>
    </row>
    <row r="221" spans="1:7">
      <c r="A221" s="5" t="s">
        <v>113</v>
      </c>
      <c r="B221" s="5"/>
      <c r="C221" s="4"/>
      <c r="D221" s="10"/>
      <c r="E221" s="10"/>
      <c r="F221" s="10"/>
      <c r="G221" s="10"/>
    </row>
    <row r="222" spans="1:7">
      <c r="A222" s="5">
        <v>1</v>
      </c>
      <c r="B222" s="5" t="s">
        <v>168</v>
      </c>
      <c r="C222" s="4" t="s">
        <v>147</v>
      </c>
      <c r="D222" s="10"/>
      <c r="E222" s="10"/>
      <c r="F222" s="10"/>
      <c r="G222" s="11">
        <f>'TB AWAL'!D20</f>
        <v>101298000</v>
      </c>
    </row>
    <row r="223" spans="1:7">
      <c r="A223" s="5"/>
      <c r="B223" s="5"/>
      <c r="C223" s="4"/>
      <c r="D223" s="10"/>
      <c r="E223" s="10"/>
      <c r="F223" s="10"/>
      <c r="G223" s="10"/>
    </row>
    <row r="224" spans="1:7">
      <c r="A224" s="5"/>
      <c r="B224" s="5"/>
      <c r="C224" s="4"/>
      <c r="D224" s="10"/>
      <c r="E224" s="10"/>
      <c r="F224" s="10"/>
      <c r="G224" s="10"/>
    </row>
    <row r="225" spans="1:7">
      <c r="A225" s="5"/>
      <c r="B225" s="5"/>
      <c r="C225" s="4"/>
      <c r="D225" s="10"/>
      <c r="E225" s="10"/>
      <c r="F225" s="10"/>
      <c r="G225" s="10"/>
    </row>
    <row r="226" spans="1:7">
      <c r="A226" s="5"/>
      <c r="B226" s="5"/>
      <c r="C226" s="4"/>
      <c r="D226" s="10"/>
      <c r="E226" s="10"/>
      <c r="F226" s="10"/>
      <c r="G226" s="10"/>
    </row>
    <row r="227" spans="1:7">
      <c r="A227" s="5"/>
      <c r="B227" s="5"/>
      <c r="C227" s="4"/>
      <c r="D227" s="10"/>
      <c r="E227" s="10"/>
      <c r="F227" s="10"/>
      <c r="G227" s="10"/>
    </row>
    <row r="228" spans="1:7">
      <c r="A228" s="5"/>
      <c r="B228" s="5"/>
      <c r="C228" s="4"/>
      <c r="D228" s="10"/>
      <c r="E228" s="10"/>
      <c r="F228" s="10"/>
      <c r="G228" s="10"/>
    </row>
    <row r="229" spans="1:7">
      <c r="C229" s="7"/>
    </row>
    <row r="230" spans="1:7">
      <c r="C230" s="7"/>
    </row>
    <row r="231" spans="1:7">
      <c r="A231" t="s">
        <v>166</v>
      </c>
      <c r="B231" s="30" t="s">
        <v>187</v>
      </c>
      <c r="C231" s="7"/>
    </row>
    <row r="232" spans="1:7">
      <c r="A232" t="s">
        <v>167</v>
      </c>
      <c r="B232" t="s">
        <v>35</v>
      </c>
      <c r="C232" s="7"/>
    </row>
    <row r="233" spans="1:7">
      <c r="C233" s="7"/>
    </row>
    <row r="234" spans="1:7">
      <c r="A234" s="145" t="s">
        <v>64</v>
      </c>
      <c r="B234" s="145" t="s">
        <v>66</v>
      </c>
      <c r="C234" s="145" t="s">
        <v>67</v>
      </c>
      <c r="D234" s="145" t="s">
        <v>68</v>
      </c>
      <c r="E234" s="145" t="s">
        <v>69</v>
      </c>
      <c r="F234" s="145" t="s">
        <v>130</v>
      </c>
      <c r="G234" s="145"/>
    </row>
    <row r="235" spans="1:7">
      <c r="A235" s="145"/>
      <c r="B235" s="145"/>
      <c r="C235" s="145"/>
      <c r="D235" s="145"/>
      <c r="E235" s="145"/>
      <c r="F235" s="9" t="s">
        <v>68</v>
      </c>
      <c r="G235" s="9" t="s">
        <v>69</v>
      </c>
    </row>
    <row r="236" spans="1:7">
      <c r="A236" s="5" t="s">
        <v>113</v>
      </c>
      <c r="B236" s="5"/>
      <c r="C236" s="4"/>
      <c r="D236" s="10"/>
      <c r="E236" s="10"/>
      <c r="F236" s="10"/>
      <c r="G236" s="10"/>
    </row>
    <row r="237" spans="1:7">
      <c r="A237" s="5">
        <v>1</v>
      </c>
      <c r="B237" s="5" t="s">
        <v>168</v>
      </c>
      <c r="C237" s="4" t="s">
        <v>147</v>
      </c>
      <c r="D237" s="10"/>
      <c r="E237" s="10"/>
      <c r="F237" s="10">
        <f>'TB AWAL'!C21</f>
        <v>150000</v>
      </c>
      <c r="G237" s="10"/>
    </row>
    <row r="238" spans="1:7">
      <c r="A238" s="5">
        <v>31</v>
      </c>
      <c r="B238" s="5" t="s">
        <v>169</v>
      </c>
      <c r="C238" s="69" t="s">
        <v>171</v>
      </c>
      <c r="D238" s="29">
        <f>CPJ!M11</f>
        <v>450000</v>
      </c>
      <c r="E238" s="10"/>
      <c r="F238" s="11">
        <f>F237+D238</f>
        <v>600000</v>
      </c>
      <c r="G238" s="10"/>
    </row>
    <row r="239" spans="1:7">
      <c r="A239" s="5"/>
      <c r="B239" s="5"/>
      <c r="C239" s="4"/>
      <c r="D239" s="10"/>
      <c r="E239" s="10"/>
      <c r="F239" s="10"/>
      <c r="G239" s="10"/>
    </row>
    <row r="240" spans="1:7">
      <c r="A240" s="5"/>
      <c r="B240" s="5"/>
      <c r="C240" s="4"/>
      <c r="D240" s="10"/>
      <c r="E240" s="10"/>
      <c r="F240" s="10"/>
      <c r="G240" s="10"/>
    </row>
    <row r="241" spans="1:7">
      <c r="A241" s="5"/>
      <c r="B241" s="5"/>
      <c r="C241" s="4"/>
      <c r="D241" s="10"/>
      <c r="E241" s="10"/>
      <c r="F241" s="10"/>
      <c r="G241" s="10"/>
    </row>
    <row r="242" spans="1:7">
      <c r="A242" s="5"/>
      <c r="B242" s="5"/>
      <c r="C242" s="4"/>
      <c r="D242" s="10"/>
      <c r="E242" s="10"/>
      <c r="F242" s="10"/>
      <c r="G242" s="10"/>
    </row>
    <row r="243" spans="1:7">
      <c r="A243" s="5"/>
      <c r="B243" s="5"/>
      <c r="C243" s="4"/>
      <c r="D243" s="10"/>
      <c r="E243" s="10"/>
      <c r="F243" s="10"/>
      <c r="G243" s="10"/>
    </row>
    <row r="244" spans="1:7">
      <c r="C244" s="7"/>
    </row>
    <row r="245" spans="1:7">
      <c r="C245" s="7"/>
    </row>
    <row r="246" spans="1:7">
      <c r="A246" t="s">
        <v>166</v>
      </c>
      <c r="B246" t="s">
        <v>188</v>
      </c>
      <c r="C246" s="7"/>
    </row>
    <row r="247" spans="1:7">
      <c r="A247" t="s">
        <v>167</v>
      </c>
      <c r="B247" s="30" t="s">
        <v>37</v>
      </c>
      <c r="C247" s="7"/>
    </row>
    <row r="248" spans="1:7">
      <c r="C248" s="7"/>
    </row>
    <row r="249" spans="1:7">
      <c r="A249" s="145" t="s">
        <v>64</v>
      </c>
      <c r="B249" s="145" t="s">
        <v>66</v>
      </c>
      <c r="C249" s="145" t="s">
        <v>67</v>
      </c>
      <c r="D249" s="145" t="s">
        <v>68</v>
      </c>
      <c r="E249" s="145" t="s">
        <v>69</v>
      </c>
      <c r="F249" s="145" t="s">
        <v>130</v>
      </c>
      <c r="G249" s="145"/>
    </row>
    <row r="250" spans="1:7">
      <c r="A250" s="145"/>
      <c r="B250" s="145"/>
      <c r="C250" s="145"/>
      <c r="D250" s="145"/>
      <c r="E250" s="145"/>
      <c r="F250" s="9" t="s">
        <v>68</v>
      </c>
      <c r="G250" s="9" t="s">
        <v>69</v>
      </c>
    </row>
    <row r="251" spans="1:7">
      <c r="A251" s="5"/>
      <c r="B251" s="5"/>
      <c r="C251" s="4"/>
      <c r="D251" s="10"/>
      <c r="E251" s="10"/>
      <c r="F251" s="10"/>
      <c r="G251" s="10"/>
    </row>
    <row r="252" spans="1:7">
      <c r="A252" s="5"/>
      <c r="B252" s="5"/>
      <c r="C252" s="4"/>
      <c r="D252" s="10"/>
      <c r="E252" s="29"/>
      <c r="F252" s="10"/>
      <c r="G252" s="10"/>
    </row>
    <row r="253" spans="1:7">
      <c r="A253" s="5"/>
      <c r="B253" s="5"/>
      <c r="C253" s="4"/>
      <c r="D253" s="10"/>
      <c r="E253" s="29"/>
      <c r="F253" s="10"/>
      <c r="G253" s="34"/>
    </row>
    <row r="254" spans="1:7">
      <c r="A254" s="5"/>
      <c r="B254" s="5"/>
      <c r="C254" s="5"/>
      <c r="D254" s="5"/>
      <c r="E254" s="5"/>
      <c r="F254" s="5"/>
      <c r="G254" s="5"/>
    </row>
    <row r="255" spans="1:7">
      <c r="A255" s="5"/>
      <c r="B255" s="5"/>
      <c r="C255" s="4"/>
      <c r="D255" s="10"/>
      <c r="E255" s="10"/>
      <c r="F255" s="10"/>
      <c r="G255" s="10"/>
    </row>
    <row r="256" spans="1:7">
      <c r="A256" s="5"/>
      <c r="B256" s="5"/>
      <c r="C256" s="4"/>
      <c r="D256" s="10"/>
      <c r="E256" s="10"/>
      <c r="F256" s="10"/>
      <c r="G256" s="10"/>
    </row>
    <row r="257" spans="1:7">
      <c r="A257" s="5"/>
      <c r="B257" s="5"/>
      <c r="C257" s="4"/>
      <c r="D257" s="10"/>
      <c r="E257" s="10"/>
      <c r="F257" s="10"/>
      <c r="G257" s="10"/>
    </row>
    <row r="258" spans="1:7">
      <c r="A258" s="5"/>
      <c r="B258" s="5"/>
      <c r="C258" s="4"/>
      <c r="D258" s="10"/>
      <c r="E258" s="10"/>
      <c r="F258" s="10"/>
      <c r="G258" s="10"/>
    </row>
    <row r="259" spans="1:7">
      <c r="A259" s="5"/>
      <c r="B259" s="5"/>
      <c r="C259" s="5"/>
      <c r="D259" s="5"/>
      <c r="E259" s="5"/>
      <c r="F259" s="5"/>
      <c r="G259" s="5"/>
    </row>
    <row r="260" spans="1:7">
      <c r="C260" s="7"/>
    </row>
    <row r="261" spans="1:7">
      <c r="C261" s="7"/>
    </row>
    <row r="262" spans="1:7">
      <c r="A262" t="s">
        <v>166</v>
      </c>
      <c r="B262" t="s">
        <v>99</v>
      </c>
      <c r="C262" s="7"/>
    </row>
    <row r="263" spans="1:7">
      <c r="A263" t="s">
        <v>167</v>
      </c>
      <c r="B263" s="30" t="s">
        <v>39</v>
      </c>
      <c r="C263" s="7"/>
    </row>
    <row r="264" spans="1:7">
      <c r="C264" s="7"/>
    </row>
    <row r="265" spans="1:7">
      <c r="A265" s="145" t="s">
        <v>64</v>
      </c>
      <c r="B265" s="145" t="s">
        <v>66</v>
      </c>
      <c r="C265" s="145" t="s">
        <v>67</v>
      </c>
      <c r="D265" s="145" t="s">
        <v>68</v>
      </c>
      <c r="E265" s="145" t="s">
        <v>69</v>
      </c>
      <c r="F265" s="145" t="s">
        <v>130</v>
      </c>
      <c r="G265" s="145"/>
    </row>
    <row r="266" spans="1:7">
      <c r="A266" s="145"/>
      <c r="B266" s="145"/>
      <c r="C266" s="145"/>
      <c r="D266" s="145"/>
      <c r="E266" s="145"/>
      <c r="F266" s="9" t="s">
        <v>68</v>
      </c>
      <c r="G266" s="9" t="s">
        <v>69</v>
      </c>
    </row>
    <row r="267" spans="1:7">
      <c r="A267" s="5" t="s">
        <v>113</v>
      </c>
      <c r="B267" s="5"/>
      <c r="C267" s="4"/>
      <c r="D267" s="10"/>
      <c r="E267" s="10"/>
      <c r="F267" s="10"/>
      <c r="G267" s="10"/>
    </row>
    <row r="268" spans="1:7">
      <c r="A268" s="5">
        <v>31</v>
      </c>
      <c r="B268" s="70" t="s">
        <v>230</v>
      </c>
      <c r="C268" s="4" t="s">
        <v>147</v>
      </c>
      <c r="D268" s="10"/>
      <c r="E268" s="10"/>
      <c r="F268" s="10"/>
      <c r="G268" s="10">
        <f>'TB AWAL'!D23</f>
        <v>7571450</v>
      </c>
    </row>
    <row r="269" spans="1:7">
      <c r="A269" s="5">
        <v>31</v>
      </c>
      <c r="B269" s="5" t="s">
        <v>169</v>
      </c>
      <c r="C269" s="4" t="s">
        <v>174</v>
      </c>
      <c r="D269" s="10"/>
      <c r="E269" s="29">
        <f>SJ!P10</f>
        <v>11255000</v>
      </c>
      <c r="F269" s="10"/>
      <c r="G269" s="10">
        <f>G268+E269</f>
        <v>18826450</v>
      </c>
    </row>
    <row r="270" spans="1:7">
      <c r="A270" s="5">
        <v>31</v>
      </c>
      <c r="B270" s="5" t="s">
        <v>169</v>
      </c>
      <c r="C270" s="4" t="s">
        <v>170</v>
      </c>
      <c r="D270" s="10"/>
      <c r="E270" s="29">
        <f>CRJ!O11</f>
        <v>13897500</v>
      </c>
      <c r="F270" s="10"/>
      <c r="G270" s="133">
        <f>G269+E270</f>
        <v>32723950</v>
      </c>
    </row>
    <row r="271" spans="1:7">
      <c r="A271" s="5"/>
      <c r="B271" s="5"/>
      <c r="C271" s="5"/>
      <c r="D271" s="5"/>
      <c r="E271" s="5"/>
      <c r="F271" s="5"/>
      <c r="G271" s="5"/>
    </row>
    <row r="272" spans="1:7">
      <c r="A272" s="5"/>
      <c r="B272" s="5"/>
      <c r="C272" s="4"/>
      <c r="D272" s="10"/>
      <c r="E272" s="10"/>
      <c r="F272" s="10"/>
      <c r="G272" s="10"/>
    </row>
    <row r="273" spans="1:7">
      <c r="A273" s="5"/>
      <c r="B273" s="5"/>
      <c r="C273" s="4"/>
      <c r="D273" s="10"/>
      <c r="E273" s="10"/>
      <c r="F273" s="10"/>
      <c r="G273" s="10"/>
    </row>
    <row r="274" spans="1:7">
      <c r="A274" s="5"/>
      <c r="B274" s="5"/>
      <c r="C274" s="4"/>
      <c r="D274" s="10"/>
      <c r="E274" s="10"/>
      <c r="F274" s="10"/>
      <c r="G274" s="10"/>
    </row>
    <row r="275" spans="1:7">
      <c r="A275" s="5"/>
      <c r="B275" s="5"/>
      <c r="C275" s="4"/>
      <c r="D275" s="10"/>
      <c r="E275" s="10"/>
      <c r="F275" s="10"/>
      <c r="G275" s="10"/>
    </row>
    <row r="276" spans="1:7">
      <c r="C276" s="7"/>
    </row>
    <row r="277" spans="1:7">
      <c r="C277" s="7"/>
    </row>
    <row r="278" spans="1:7">
      <c r="A278" t="s">
        <v>166</v>
      </c>
      <c r="B278" t="s">
        <v>189</v>
      </c>
      <c r="C278" s="7"/>
    </row>
    <row r="279" spans="1:7">
      <c r="A279" t="s">
        <v>167</v>
      </c>
      <c r="B279" s="30" t="s">
        <v>41</v>
      </c>
      <c r="C279" s="7"/>
    </row>
    <row r="280" spans="1:7">
      <c r="C280" s="7"/>
    </row>
    <row r="281" spans="1:7">
      <c r="A281" s="145" t="s">
        <v>64</v>
      </c>
      <c r="B281" s="145" t="s">
        <v>66</v>
      </c>
      <c r="C281" s="145" t="s">
        <v>67</v>
      </c>
      <c r="D281" s="145" t="s">
        <v>68</v>
      </c>
      <c r="E281" s="145" t="s">
        <v>69</v>
      </c>
      <c r="F281" s="145" t="s">
        <v>130</v>
      </c>
      <c r="G281" s="145"/>
    </row>
    <row r="282" spans="1:7">
      <c r="A282" s="145"/>
      <c r="B282" s="145"/>
      <c r="C282" s="145"/>
      <c r="D282" s="145"/>
      <c r="E282" s="145"/>
      <c r="F282" s="9" t="s">
        <v>68</v>
      </c>
      <c r="G282" s="9" t="s">
        <v>69</v>
      </c>
    </row>
    <row r="283" spans="1:7">
      <c r="A283" s="5"/>
      <c r="B283" s="5"/>
      <c r="C283" s="4"/>
      <c r="D283" s="5"/>
      <c r="E283" s="5"/>
      <c r="F283" s="5"/>
      <c r="G283" s="5"/>
    </row>
    <row r="284" spans="1:7">
      <c r="A284" s="5"/>
      <c r="B284" s="5"/>
      <c r="C284" s="4"/>
      <c r="D284" s="10"/>
      <c r="E284" s="10"/>
      <c r="F284" s="32"/>
      <c r="G284" s="5"/>
    </row>
    <row r="285" spans="1:7">
      <c r="A285" s="5"/>
      <c r="B285" s="5"/>
      <c r="C285" s="4"/>
      <c r="D285" s="5"/>
      <c r="E285" s="5"/>
      <c r="F285" s="5"/>
      <c r="G285" s="5"/>
    </row>
    <row r="286" spans="1:7">
      <c r="A286" s="5"/>
      <c r="B286" s="5"/>
      <c r="C286" s="4"/>
      <c r="D286" s="5"/>
      <c r="E286" s="5"/>
      <c r="F286" s="5"/>
      <c r="G286" s="5"/>
    </row>
    <row r="287" spans="1:7">
      <c r="A287" s="5"/>
      <c r="B287" s="5"/>
      <c r="C287" s="4"/>
      <c r="D287" s="5"/>
      <c r="E287" s="5"/>
      <c r="F287" s="5"/>
      <c r="G287" s="5"/>
    </row>
    <row r="288" spans="1:7">
      <c r="A288" s="5"/>
      <c r="B288" s="5"/>
      <c r="C288" s="4"/>
      <c r="D288" s="5"/>
      <c r="E288" s="5"/>
      <c r="F288" s="5"/>
      <c r="G288" s="5"/>
    </row>
    <row r="289" spans="1:7">
      <c r="A289" s="5"/>
      <c r="B289" s="5"/>
      <c r="C289" s="4"/>
      <c r="D289" s="5"/>
      <c r="E289" s="5"/>
      <c r="F289" s="5"/>
      <c r="G289" s="5"/>
    </row>
    <row r="290" spans="1:7">
      <c r="A290" s="5"/>
      <c r="B290" s="5"/>
      <c r="C290" s="4"/>
      <c r="D290" s="5"/>
      <c r="E290" s="5"/>
      <c r="F290" s="5"/>
      <c r="G290" s="5"/>
    </row>
    <row r="291" spans="1:7">
      <c r="C291" s="7"/>
    </row>
    <row r="292" spans="1:7">
      <c r="C292" s="7"/>
    </row>
    <row r="293" spans="1:7">
      <c r="A293" t="s">
        <v>166</v>
      </c>
      <c r="B293" t="s">
        <v>190</v>
      </c>
      <c r="C293" s="7"/>
    </row>
    <row r="294" spans="1:7">
      <c r="A294" t="s">
        <v>167</v>
      </c>
      <c r="B294" s="30" t="s">
        <v>44</v>
      </c>
      <c r="C294" s="7"/>
    </row>
    <row r="295" spans="1:7">
      <c r="C295" s="7"/>
    </row>
    <row r="296" spans="1:7">
      <c r="A296" s="145" t="s">
        <v>64</v>
      </c>
      <c r="B296" s="145" t="s">
        <v>66</v>
      </c>
      <c r="C296" s="145" t="s">
        <v>67</v>
      </c>
      <c r="D296" s="145" t="s">
        <v>68</v>
      </c>
      <c r="E296" s="145" t="s">
        <v>69</v>
      </c>
      <c r="F296" s="145" t="s">
        <v>130</v>
      </c>
      <c r="G296" s="145"/>
    </row>
    <row r="297" spans="1:7">
      <c r="A297" s="145"/>
      <c r="B297" s="145"/>
      <c r="C297" s="145"/>
      <c r="D297" s="145"/>
      <c r="E297" s="145"/>
      <c r="F297" s="9" t="s">
        <v>68</v>
      </c>
      <c r="G297" s="9" t="s">
        <v>69</v>
      </c>
    </row>
    <row r="298" spans="1:7">
      <c r="A298" s="5" t="s">
        <v>113</v>
      </c>
      <c r="B298" s="5"/>
      <c r="C298" s="4"/>
      <c r="D298" s="10"/>
      <c r="E298" s="10"/>
      <c r="F298" s="10"/>
      <c r="G298" s="10"/>
    </row>
    <row r="299" spans="1:7">
      <c r="A299" s="5">
        <v>31</v>
      </c>
      <c r="B299" s="5" t="s">
        <v>169</v>
      </c>
      <c r="C299" s="4" t="s">
        <v>174</v>
      </c>
      <c r="D299" s="10"/>
      <c r="E299" s="29">
        <f>SJ!P11</f>
        <v>621050</v>
      </c>
      <c r="F299" s="10"/>
      <c r="G299" s="133">
        <f>E299</f>
        <v>621050</v>
      </c>
    </row>
    <row r="300" spans="1:7">
      <c r="A300" s="5"/>
      <c r="B300" s="5"/>
      <c r="C300" s="4"/>
      <c r="D300" s="10"/>
      <c r="E300" s="10"/>
      <c r="F300" s="10"/>
      <c r="G300" s="10"/>
    </row>
    <row r="301" spans="1:7">
      <c r="A301" s="5"/>
      <c r="B301" s="5"/>
      <c r="C301" s="4"/>
      <c r="D301" s="10"/>
      <c r="E301" s="10"/>
      <c r="F301" s="10"/>
      <c r="G301" s="10"/>
    </row>
    <row r="302" spans="1:7">
      <c r="A302" s="5"/>
      <c r="B302" s="5"/>
      <c r="C302" s="4"/>
      <c r="D302" s="10"/>
      <c r="E302" s="10"/>
      <c r="F302" s="10"/>
      <c r="G302" s="10"/>
    </row>
    <row r="303" spans="1:7">
      <c r="A303" s="5"/>
      <c r="B303" s="5"/>
      <c r="C303" s="4"/>
      <c r="D303" s="10"/>
      <c r="E303" s="10"/>
      <c r="F303" s="10"/>
      <c r="G303" s="10"/>
    </row>
    <row r="304" spans="1:7">
      <c r="A304" s="5"/>
      <c r="B304" s="5"/>
      <c r="C304" s="4"/>
      <c r="D304" s="10"/>
      <c r="E304" s="10"/>
      <c r="F304" s="10"/>
      <c r="G304" s="10"/>
    </row>
    <row r="305" spans="1:7">
      <c r="A305" s="5"/>
      <c r="B305" s="5"/>
      <c r="C305" s="4"/>
      <c r="D305" s="10"/>
      <c r="E305" s="10"/>
      <c r="F305" s="10"/>
      <c r="G305" s="10"/>
    </row>
    <row r="306" spans="1:7">
      <c r="C306" s="7"/>
    </row>
    <row r="307" spans="1:7">
      <c r="C307" s="7"/>
    </row>
    <row r="308" spans="1:7">
      <c r="A308" t="s">
        <v>166</v>
      </c>
      <c r="B308" t="s">
        <v>191</v>
      </c>
      <c r="C308" s="7"/>
    </row>
    <row r="309" spans="1:7">
      <c r="A309" t="s">
        <v>167</v>
      </c>
      <c r="B309" s="30" t="s">
        <v>46</v>
      </c>
      <c r="C309" s="7"/>
    </row>
    <row r="310" spans="1:7">
      <c r="C310" s="7"/>
    </row>
    <row r="311" spans="1:7">
      <c r="A311" s="145" t="s">
        <v>64</v>
      </c>
      <c r="B311" s="145" t="s">
        <v>66</v>
      </c>
      <c r="C311" s="145" t="s">
        <v>67</v>
      </c>
      <c r="D311" s="145" t="s">
        <v>68</v>
      </c>
      <c r="E311" s="145" t="s">
        <v>69</v>
      </c>
      <c r="F311" s="145" t="s">
        <v>130</v>
      </c>
      <c r="G311" s="145"/>
    </row>
    <row r="312" spans="1:7">
      <c r="A312" s="145"/>
      <c r="B312" s="145"/>
      <c r="C312" s="145"/>
      <c r="D312" s="145"/>
      <c r="E312" s="145"/>
      <c r="F312" s="9" t="s">
        <v>68</v>
      </c>
      <c r="G312" s="9" t="s">
        <v>69</v>
      </c>
    </row>
    <row r="313" spans="1:7">
      <c r="A313" s="5" t="s">
        <v>113</v>
      </c>
      <c r="B313" s="5"/>
      <c r="C313" s="4"/>
      <c r="D313" s="5"/>
      <c r="E313" s="5"/>
      <c r="F313" s="5"/>
      <c r="G313" s="5"/>
    </row>
    <row r="314" spans="1:7">
      <c r="A314" s="5">
        <v>31</v>
      </c>
      <c r="B314" s="5" t="s">
        <v>169</v>
      </c>
      <c r="C314" s="4" t="s">
        <v>174</v>
      </c>
      <c r="D314" s="29">
        <f>SJ!N9</f>
        <v>10320000</v>
      </c>
      <c r="E314" s="5"/>
      <c r="F314" s="29">
        <f>D314</f>
        <v>10320000</v>
      </c>
      <c r="G314" s="5"/>
    </row>
    <row r="315" spans="1:7">
      <c r="A315" s="5">
        <v>31</v>
      </c>
      <c r="B315" s="5" t="s">
        <v>169</v>
      </c>
      <c r="C315" s="4" t="s">
        <v>170</v>
      </c>
      <c r="D315" s="29">
        <f>CRJ!M9</f>
        <v>11772500</v>
      </c>
      <c r="E315" s="5"/>
      <c r="F315" s="134">
        <f>SUM(F314+D315)</f>
        <v>22092500</v>
      </c>
      <c r="G315" s="5"/>
    </row>
    <row r="316" spans="1:7">
      <c r="A316" s="5"/>
      <c r="B316" s="5"/>
      <c r="C316" s="4"/>
      <c r="D316" s="5"/>
      <c r="E316" s="5"/>
      <c r="F316" s="5"/>
      <c r="G316" s="5"/>
    </row>
    <row r="317" spans="1:7">
      <c r="A317" s="5"/>
      <c r="B317" s="5"/>
      <c r="C317" s="4"/>
      <c r="D317" s="5"/>
      <c r="E317" s="5"/>
      <c r="F317" s="5"/>
      <c r="G317" s="5"/>
    </row>
    <row r="318" spans="1:7">
      <c r="A318" s="5"/>
      <c r="B318" s="5"/>
      <c r="C318" s="4"/>
      <c r="D318" s="5"/>
      <c r="E318" s="5"/>
      <c r="F318" s="5"/>
      <c r="G318" s="5"/>
    </row>
    <row r="319" spans="1:7">
      <c r="A319" s="5"/>
      <c r="B319" s="5"/>
      <c r="C319" s="4"/>
      <c r="D319" s="5"/>
      <c r="E319" s="5"/>
      <c r="F319" s="5"/>
      <c r="G319" s="5"/>
    </row>
    <row r="320" spans="1:7">
      <c r="A320" s="5"/>
      <c r="B320" s="5"/>
      <c r="C320" s="4"/>
      <c r="D320" s="5"/>
      <c r="E320" s="5"/>
      <c r="F320" s="5"/>
      <c r="G320" s="5"/>
    </row>
    <row r="321" spans="1:7">
      <c r="C321" s="7"/>
    </row>
    <row r="322" spans="1:7">
      <c r="C322" s="7"/>
    </row>
    <row r="323" spans="1:7">
      <c r="A323" t="s">
        <v>166</v>
      </c>
      <c r="B323" t="s">
        <v>192</v>
      </c>
      <c r="C323" s="7"/>
    </row>
    <row r="324" spans="1:7">
      <c r="A324" t="s">
        <v>167</v>
      </c>
      <c r="B324" s="30" t="s">
        <v>48</v>
      </c>
      <c r="C324" s="7"/>
    </row>
    <row r="325" spans="1:7">
      <c r="C325" s="7"/>
    </row>
    <row r="326" spans="1:7">
      <c r="A326" s="145" t="s">
        <v>64</v>
      </c>
      <c r="B326" s="145" t="s">
        <v>66</v>
      </c>
      <c r="C326" s="145" t="s">
        <v>67</v>
      </c>
      <c r="D326" s="145" t="s">
        <v>68</v>
      </c>
      <c r="E326" s="145" t="s">
        <v>69</v>
      </c>
      <c r="F326" s="145" t="s">
        <v>130</v>
      </c>
      <c r="G326" s="145"/>
    </row>
    <row r="327" spans="1:7">
      <c r="A327" s="145"/>
      <c r="B327" s="145"/>
      <c r="C327" s="145"/>
      <c r="D327" s="145"/>
      <c r="E327" s="145"/>
      <c r="F327" s="9" t="s">
        <v>68</v>
      </c>
      <c r="G327" s="9" t="s">
        <v>69</v>
      </c>
    </row>
    <row r="328" spans="1:7">
      <c r="A328" s="5" t="s">
        <v>113</v>
      </c>
      <c r="B328" s="5"/>
      <c r="C328" s="4"/>
      <c r="D328" s="10"/>
      <c r="E328" s="10"/>
      <c r="F328" s="11"/>
      <c r="G328" s="11"/>
    </row>
    <row r="329" spans="1:7">
      <c r="A329" s="5">
        <v>31</v>
      </c>
      <c r="B329" s="5" t="s">
        <v>169</v>
      </c>
      <c r="C329" s="4" t="s">
        <v>176</v>
      </c>
      <c r="D329" s="10">
        <f>PJ!N10</f>
        <v>970000</v>
      </c>
      <c r="E329" s="10"/>
      <c r="F329" s="11">
        <f>D329</f>
        <v>970000</v>
      </c>
      <c r="G329" s="11"/>
    </row>
    <row r="330" spans="1:7">
      <c r="A330" s="5"/>
      <c r="B330" s="5"/>
      <c r="C330" s="4"/>
      <c r="D330" s="10"/>
      <c r="E330" s="10"/>
      <c r="F330" s="11"/>
      <c r="G330" s="11"/>
    </row>
    <row r="331" spans="1:7">
      <c r="A331" s="5"/>
      <c r="B331" s="5"/>
      <c r="C331" s="4"/>
      <c r="D331" s="10"/>
      <c r="E331" s="10"/>
      <c r="F331" s="11"/>
      <c r="G331" s="11"/>
    </row>
    <row r="332" spans="1:7">
      <c r="A332" s="5"/>
      <c r="B332" s="5"/>
      <c r="C332" s="4"/>
      <c r="D332" s="10"/>
      <c r="E332" s="10"/>
      <c r="F332" s="11"/>
      <c r="G332" s="11"/>
    </row>
    <row r="333" spans="1:7">
      <c r="A333" s="5"/>
      <c r="B333" s="5"/>
      <c r="C333" s="4"/>
      <c r="D333" s="10"/>
      <c r="E333" s="10"/>
      <c r="F333" s="11"/>
      <c r="G333" s="11"/>
    </row>
    <row r="334" spans="1:7">
      <c r="A334" s="5"/>
      <c r="B334" s="5"/>
      <c r="C334" s="4"/>
      <c r="D334" s="10"/>
      <c r="E334" s="10"/>
      <c r="F334" s="11"/>
      <c r="G334" s="11"/>
    </row>
    <row r="335" spans="1:7">
      <c r="A335" s="5"/>
      <c r="B335" s="5"/>
      <c r="C335" s="4"/>
      <c r="D335" s="10"/>
      <c r="E335" s="10"/>
      <c r="F335" s="11"/>
      <c r="G335" s="11"/>
    </row>
    <row r="336" spans="1:7">
      <c r="C336" s="7"/>
      <c r="F336" s="109"/>
      <c r="G336" s="109"/>
    </row>
    <row r="337" spans="1:7">
      <c r="C337" s="7"/>
      <c r="F337" s="109"/>
      <c r="G337" s="109"/>
    </row>
    <row r="338" spans="1:7">
      <c r="A338" t="s">
        <v>166</v>
      </c>
      <c r="B338" t="s">
        <v>193</v>
      </c>
      <c r="C338" s="7"/>
      <c r="F338" s="109"/>
      <c r="G338" s="109"/>
    </row>
    <row r="339" spans="1:7">
      <c r="A339" t="s">
        <v>167</v>
      </c>
      <c r="B339" s="30" t="s">
        <v>50</v>
      </c>
      <c r="C339" s="7"/>
      <c r="F339" s="109"/>
      <c r="G339" s="109"/>
    </row>
    <row r="340" spans="1:7">
      <c r="C340" s="7"/>
      <c r="F340" s="109"/>
      <c r="G340" s="109"/>
    </row>
    <row r="341" spans="1:7">
      <c r="A341" s="145" t="s">
        <v>64</v>
      </c>
      <c r="B341" s="145" t="s">
        <v>66</v>
      </c>
      <c r="C341" s="145" t="s">
        <v>67</v>
      </c>
      <c r="D341" s="145" t="s">
        <v>68</v>
      </c>
      <c r="E341" s="145" t="s">
        <v>69</v>
      </c>
      <c r="F341" s="168" t="s">
        <v>130</v>
      </c>
      <c r="G341" s="168"/>
    </row>
    <row r="342" spans="1:7">
      <c r="A342" s="145"/>
      <c r="B342" s="145"/>
      <c r="C342" s="145"/>
      <c r="D342" s="145"/>
      <c r="E342" s="145"/>
      <c r="F342" s="85" t="s">
        <v>68</v>
      </c>
      <c r="G342" s="85" t="s">
        <v>69</v>
      </c>
    </row>
    <row r="343" spans="1:7">
      <c r="A343" s="5" t="s">
        <v>113</v>
      </c>
      <c r="B343" s="5"/>
      <c r="C343" s="4"/>
      <c r="D343" s="10"/>
      <c r="E343" s="10"/>
      <c r="F343" s="11"/>
      <c r="G343" s="11"/>
    </row>
    <row r="344" spans="1:7">
      <c r="A344" s="5">
        <v>31</v>
      </c>
      <c r="B344" s="5" t="s">
        <v>169</v>
      </c>
      <c r="C344" s="4" t="s">
        <v>171</v>
      </c>
      <c r="D344" s="10">
        <f>CPJ!M10</f>
        <v>3607143</v>
      </c>
      <c r="E344" s="10"/>
      <c r="F344" s="11">
        <f>D344</f>
        <v>3607143</v>
      </c>
      <c r="G344" s="11"/>
    </row>
    <row r="345" spans="1:7">
      <c r="A345" s="5"/>
      <c r="B345" s="5"/>
      <c r="C345" s="5"/>
      <c r="D345" s="5"/>
      <c r="E345" s="5"/>
      <c r="F345" s="135"/>
      <c r="G345" s="11"/>
    </row>
    <row r="346" spans="1:7">
      <c r="A346" s="5"/>
      <c r="B346" s="5"/>
      <c r="C346" s="4"/>
      <c r="D346" s="10"/>
      <c r="E346" s="10"/>
      <c r="F346" s="11"/>
      <c r="G346" s="11"/>
    </row>
    <row r="347" spans="1:7">
      <c r="A347" s="5"/>
      <c r="B347" s="5"/>
      <c r="C347" s="4"/>
      <c r="D347" s="10"/>
      <c r="E347" s="10"/>
      <c r="F347" s="11"/>
      <c r="G347" s="11"/>
    </row>
    <row r="348" spans="1:7">
      <c r="A348" s="5"/>
      <c r="B348" s="5"/>
      <c r="C348" s="4"/>
      <c r="D348" s="10"/>
      <c r="E348" s="10"/>
      <c r="F348" s="11"/>
      <c r="G348" s="11"/>
    </row>
    <row r="349" spans="1:7">
      <c r="A349" s="5"/>
      <c r="B349" s="5"/>
      <c r="C349" s="4"/>
      <c r="D349" s="10"/>
      <c r="E349" s="10"/>
      <c r="F349" s="11"/>
      <c r="G349" s="11"/>
    </row>
    <row r="350" spans="1:7">
      <c r="A350" s="5"/>
      <c r="B350" s="5"/>
      <c r="C350" s="4"/>
      <c r="D350" s="10"/>
      <c r="E350" s="10"/>
      <c r="F350" s="11"/>
      <c r="G350" s="11"/>
    </row>
    <row r="351" spans="1:7">
      <c r="C351" s="7"/>
      <c r="F351" s="109"/>
      <c r="G351" s="109"/>
    </row>
    <row r="352" spans="1:7">
      <c r="C352" s="7"/>
      <c r="F352" s="109"/>
      <c r="G352" s="109"/>
    </row>
    <row r="353" spans="1:7">
      <c r="A353" t="s">
        <v>166</v>
      </c>
      <c r="B353" t="s">
        <v>194</v>
      </c>
      <c r="C353" s="7"/>
      <c r="F353" s="109"/>
      <c r="G353" s="109"/>
    </row>
    <row r="354" spans="1:7">
      <c r="A354" t="s">
        <v>167</v>
      </c>
      <c r="B354" s="30" t="s">
        <v>51</v>
      </c>
      <c r="C354" s="7"/>
      <c r="F354" s="109"/>
      <c r="G354" s="109"/>
    </row>
    <row r="355" spans="1:7">
      <c r="C355" s="7"/>
      <c r="F355" s="109"/>
      <c r="G355" s="109"/>
    </row>
    <row r="356" spans="1:7">
      <c r="A356" s="145" t="s">
        <v>64</v>
      </c>
      <c r="B356" s="145" t="s">
        <v>66</v>
      </c>
      <c r="C356" s="145" t="s">
        <v>67</v>
      </c>
      <c r="D356" s="145" t="s">
        <v>68</v>
      </c>
      <c r="E356" s="145" t="s">
        <v>69</v>
      </c>
      <c r="F356" s="168" t="s">
        <v>130</v>
      </c>
      <c r="G356" s="168"/>
    </row>
    <row r="357" spans="1:7">
      <c r="A357" s="145"/>
      <c r="B357" s="145"/>
      <c r="C357" s="145"/>
      <c r="D357" s="145"/>
      <c r="E357" s="145"/>
      <c r="F357" s="85" t="s">
        <v>68</v>
      </c>
      <c r="G357" s="85" t="s">
        <v>69</v>
      </c>
    </row>
    <row r="358" spans="1:7">
      <c r="A358" s="5"/>
      <c r="B358" s="5"/>
      <c r="C358" s="4"/>
      <c r="D358" s="5"/>
      <c r="E358" s="5"/>
      <c r="F358" s="135"/>
      <c r="G358" s="135"/>
    </row>
    <row r="359" spans="1:7">
      <c r="A359" s="5"/>
      <c r="B359" s="5"/>
      <c r="C359" s="4"/>
      <c r="D359" s="5"/>
      <c r="E359" s="5"/>
      <c r="F359" s="135"/>
      <c r="G359" s="135"/>
    </row>
    <row r="360" spans="1:7">
      <c r="A360" s="5"/>
      <c r="B360" s="5"/>
      <c r="C360" s="4"/>
      <c r="D360" s="5"/>
      <c r="E360" s="5"/>
      <c r="F360" s="135"/>
      <c r="G360" s="135"/>
    </row>
    <row r="361" spans="1:7">
      <c r="A361" s="5"/>
      <c r="B361" s="5"/>
      <c r="C361" s="4"/>
      <c r="D361" s="5"/>
      <c r="E361" s="5"/>
      <c r="F361" s="135"/>
      <c r="G361" s="135"/>
    </row>
    <row r="362" spans="1:7">
      <c r="A362" s="5"/>
      <c r="B362" s="5"/>
      <c r="C362" s="4"/>
      <c r="D362" s="5"/>
      <c r="E362" s="5"/>
      <c r="F362" s="135"/>
      <c r="G362" s="135"/>
    </row>
    <row r="363" spans="1:7">
      <c r="A363" s="5"/>
      <c r="B363" s="5"/>
      <c r="C363" s="4"/>
      <c r="D363" s="5"/>
      <c r="E363" s="5"/>
      <c r="F363" s="135"/>
      <c r="G363" s="135"/>
    </row>
    <row r="364" spans="1:7">
      <c r="A364" s="5"/>
      <c r="B364" s="5"/>
      <c r="C364" s="4"/>
      <c r="D364" s="5"/>
      <c r="E364" s="5"/>
      <c r="F364" s="135"/>
      <c r="G364" s="135"/>
    </row>
    <row r="365" spans="1:7">
      <c r="A365" s="5"/>
      <c r="B365" s="5"/>
      <c r="C365" s="4"/>
      <c r="D365" s="5"/>
      <c r="E365" s="5"/>
      <c r="F365" s="135"/>
      <c r="G365" s="135"/>
    </row>
    <row r="366" spans="1:7">
      <c r="C366" s="7"/>
      <c r="F366" s="109"/>
      <c r="G366" s="109"/>
    </row>
    <row r="367" spans="1:7">
      <c r="C367" s="7"/>
      <c r="F367" s="109"/>
      <c r="G367" s="109"/>
    </row>
    <row r="368" spans="1:7">
      <c r="C368" s="7"/>
      <c r="F368" s="109"/>
      <c r="G368" s="109"/>
    </row>
    <row r="369" spans="1:7">
      <c r="C369" s="7"/>
      <c r="F369" s="109"/>
      <c r="G369" s="109"/>
    </row>
    <row r="370" spans="1:7">
      <c r="A370" t="s">
        <v>166</v>
      </c>
      <c r="B370" t="s">
        <v>195</v>
      </c>
      <c r="C370" s="7"/>
      <c r="F370" s="109"/>
      <c r="G370" s="109"/>
    </row>
    <row r="371" spans="1:7">
      <c r="A371" t="s">
        <v>167</v>
      </c>
      <c r="B371" s="30" t="s">
        <v>55</v>
      </c>
      <c r="C371" s="7"/>
      <c r="F371" s="109"/>
      <c r="G371" s="109"/>
    </row>
    <row r="372" spans="1:7">
      <c r="C372" s="7"/>
      <c r="F372" s="109"/>
      <c r="G372" s="109"/>
    </row>
    <row r="373" spans="1:7">
      <c r="A373" s="145" t="s">
        <v>64</v>
      </c>
      <c r="B373" s="145" t="s">
        <v>66</v>
      </c>
      <c r="C373" s="145" t="s">
        <v>67</v>
      </c>
      <c r="D373" s="145" t="s">
        <v>68</v>
      </c>
      <c r="E373" s="145" t="s">
        <v>69</v>
      </c>
      <c r="F373" s="168" t="s">
        <v>130</v>
      </c>
      <c r="G373" s="168"/>
    </row>
    <row r="374" spans="1:7">
      <c r="A374" s="145"/>
      <c r="B374" s="145"/>
      <c r="C374" s="145"/>
      <c r="D374" s="145"/>
      <c r="E374" s="145"/>
      <c r="F374" s="85" t="s">
        <v>68</v>
      </c>
      <c r="G374" s="85" t="s">
        <v>69</v>
      </c>
    </row>
    <row r="375" spans="1:7">
      <c r="A375" s="5"/>
      <c r="B375" s="5"/>
      <c r="C375" s="4"/>
      <c r="D375" s="5"/>
      <c r="E375" s="5"/>
      <c r="F375" s="135"/>
      <c r="G375" s="135"/>
    </row>
    <row r="376" spans="1:7">
      <c r="A376" s="5"/>
      <c r="B376" s="5"/>
      <c r="C376" s="4"/>
      <c r="D376" s="5"/>
      <c r="E376" s="5"/>
      <c r="F376" s="135"/>
      <c r="G376" s="135"/>
    </row>
    <row r="377" spans="1:7">
      <c r="A377" s="5"/>
      <c r="B377" s="5"/>
      <c r="C377" s="4"/>
      <c r="D377" s="5"/>
      <c r="E377" s="5"/>
      <c r="F377" s="135"/>
      <c r="G377" s="135"/>
    </row>
    <row r="378" spans="1:7">
      <c r="A378" s="5"/>
      <c r="B378" s="5"/>
      <c r="C378" s="4"/>
      <c r="D378" s="5"/>
      <c r="E378" s="5"/>
      <c r="F378" s="135"/>
      <c r="G378" s="135"/>
    </row>
    <row r="379" spans="1:7">
      <c r="A379" s="5"/>
      <c r="B379" s="5"/>
      <c r="C379" s="4"/>
      <c r="D379" s="5"/>
      <c r="E379" s="5"/>
      <c r="F379" s="135"/>
      <c r="G379" s="135"/>
    </row>
    <row r="380" spans="1:7">
      <c r="A380" s="5"/>
      <c r="B380" s="5"/>
      <c r="C380" s="4"/>
      <c r="D380" s="5"/>
      <c r="E380" s="5"/>
      <c r="F380" s="135"/>
      <c r="G380" s="135"/>
    </row>
    <row r="381" spans="1:7">
      <c r="A381" s="5"/>
      <c r="B381" s="5"/>
      <c r="C381" s="4"/>
      <c r="D381" s="5"/>
      <c r="E381" s="5"/>
      <c r="F381" s="135"/>
      <c r="G381" s="135"/>
    </row>
    <row r="382" spans="1:7">
      <c r="A382" s="5"/>
      <c r="B382" s="5"/>
      <c r="C382" s="4"/>
      <c r="D382" s="5"/>
      <c r="E382" s="5"/>
      <c r="F382" s="135"/>
      <c r="G382" s="135"/>
    </row>
    <row r="383" spans="1:7">
      <c r="C383" s="7"/>
      <c r="F383" s="109"/>
      <c r="G383" s="109"/>
    </row>
    <row r="384" spans="1:7">
      <c r="C384" s="7"/>
      <c r="F384" s="109"/>
      <c r="G384" s="109"/>
    </row>
    <row r="385" spans="1:7">
      <c r="A385" t="s">
        <v>166</v>
      </c>
      <c r="B385" t="s">
        <v>196</v>
      </c>
      <c r="C385" s="7"/>
      <c r="F385" s="109"/>
      <c r="G385" s="109"/>
    </row>
    <row r="386" spans="1:7">
      <c r="A386" t="s">
        <v>167</v>
      </c>
      <c r="B386" s="30" t="s">
        <v>57</v>
      </c>
      <c r="C386" s="7"/>
      <c r="F386" s="109"/>
      <c r="G386" s="109"/>
    </row>
    <row r="387" spans="1:7">
      <c r="C387" s="7"/>
      <c r="F387" s="109"/>
      <c r="G387" s="109"/>
    </row>
    <row r="388" spans="1:7">
      <c r="A388" s="145" t="s">
        <v>64</v>
      </c>
      <c r="B388" s="145" t="s">
        <v>66</v>
      </c>
      <c r="C388" s="145" t="s">
        <v>67</v>
      </c>
      <c r="D388" s="145" t="s">
        <v>68</v>
      </c>
      <c r="E388" s="145" t="s">
        <v>69</v>
      </c>
      <c r="F388" s="168" t="s">
        <v>130</v>
      </c>
      <c r="G388" s="168"/>
    </row>
    <row r="389" spans="1:7">
      <c r="A389" s="145"/>
      <c r="B389" s="145"/>
      <c r="C389" s="145"/>
      <c r="D389" s="145"/>
      <c r="E389" s="145"/>
      <c r="F389" s="85" t="s">
        <v>68</v>
      </c>
      <c r="G389" s="85" t="s">
        <v>69</v>
      </c>
    </row>
    <row r="390" spans="1:7">
      <c r="A390" s="5"/>
      <c r="B390" s="5"/>
      <c r="C390" s="4"/>
      <c r="D390" s="5"/>
      <c r="E390" s="5"/>
      <c r="F390" s="135"/>
      <c r="G390" s="135"/>
    </row>
    <row r="391" spans="1:7">
      <c r="A391" s="5"/>
      <c r="B391" s="5"/>
      <c r="C391" s="4"/>
      <c r="D391" s="5"/>
      <c r="E391" s="5"/>
      <c r="F391" s="135"/>
      <c r="G391" s="135"/>
    </row>
    <row r="392" spans="1:7">
      <c r="A392" s="5"/>
      <c r="B392" s="5"/>
      <c r="C392" s="4"/>
      <c r="D392" s="5"/>
      <c r="E392" s="5"/>
      <c r="F392" s="135"/>
      <c r="G392" s="135"/>
    </row>
    <row r="393" spans="1:7">
      <c r="A393" s="5"/>
      <c r="B393" s="5"/>
      <c r="C393" s="4"/>
      <c r="D393" s="5"/>
      <c r="E393" s="5"/>
      <c r="F393" s="135"/>
      <c r="G393" s="135"/>
    </row>
    <row r="394" spans="1:7">
      <c r="A394" s="5"/>
      <c r="B394" s="5"/>
      <c r="C394" s="4"/>
      <c r="D394" s="5"/>
      <c r="E394" s="5"/>
      <c r="F394" s="135"/>
      <c r="G394" s="135"/>
    </row>
    <row r="395" spans="1:7">
      <c r="A395" s="5"/>
      <c r="B395" s="5"/>
      <c r="C395" s="4"/>
      <c r="D395" s="5"/>
      <c r="E395" s="5"/>
      <c r="F395" s="135"/>
      <c r="G395" s="135"/>
    </row>
    <row r="396" spans="1:7">
      <c r="A396" s="5"/>
      <c r="B396" s="5"/>
      <c r="C396" s="4"/>
      <c r="D396" s="5"/>
      <c r="E396" s="5"/>
      <c r="F396" s="135"/>
      <c r="G396" s="135"/>
    </row>
    <row r="397" spans="1:7">
      <c r="A397" s="5"/>
      <c r="B397" s="5"/>
      <c r="C397" s="4"/>
      <c r="D397" s="5"/>
      <c r="E397" s="5"/>
      <c r="F397" s="135"/>
      <c r="G397" s="135"/>
    </row>
    <row r="398" spans="1:7">
      <c r="C398" s="7"/>
      <c r="F398" s="109"/>
      <c r="G398" s="109"/>
    </row>
    <row r="399" spans="1:7">
      <c r="C399" s="7"/>
      <c r="F399" s="109"/>
      <c r="G399" s="109"/>
    </row>
    <row r="400" spans="1:7">
      <c r="A400" t="s">
        <v>166</v>
      </c>
      <c r="B400" s="30" t="s">
        <v>197</v>
      </c>
      <c r="C400" s="7"/>
      <c r="F400" s="109"/>
      <c r="G400" s="109"/>
    </row>
    <row r="401" spans="1:7">
      <c r="A401" t="s">
        <v>167</v>
      </c>
      <c r="B401" t="s">
        <v>59</v>
      </c>
      <c r="C401" s="7"/>
      <c r="F401" s="109"/>
      <c r="G401" s="109"/>
    </row>
    <row r="402" spans="1:7">
      <c r="C402" s="7"/>
      <c r="F402" s="109"/>
      <c r="G402" s="109"/>
    </row>
    <row r="403" spans="1:7">
      <c r="A403" s="145" t="s">
        <v>64</v>
      </c>
      <c r="B403" s="145" t="s">
        <v>66</v>
      </c>
      <c r="C403" s="145" t="s">
        <v>67</v>
      </c>
      <c r="D403" s="145" t="s">
        <v>68</v>
      </c>
      <c r="E403" s="145" t="s">
        <v>69</v>
      </c>
      <c r="F403" s="168" t="s">
        <v>130</v>
      </c>
      <c r="G403" s="168"/>
    </row>
    <row r="404" spans="1:7">
      <c r="A404" s="145"/>
      <c r="B404" s="145"/>
      <c r="C404" s="145"/>
      <c r="D404" s="145"/>
      <c r="E404" s="145"/>
      <c r="F404" s="85" t="s">
        <v>68</v>
      </c>
      <c r="G404" s="85" t="s">
        <v>69</v>
      </c>
    </row>
    <row r="405" spans="1:7">
      <c r="A405" s="5"/>
      <c r="B405" s="5"/>
      <c r="C405" s="4"/>
      <c r="D405" s="10"/>
      <c r="E405" s="10"/>
      <c r="F405" s="11"/>
      <c r="G405" s="11"/>
    </row>
    <row r="406" spans="1:7">
      <c r="A406" s="5"/>
      <c r="B406" s="5"/>
      <c r="C406" s="4"/>
      <c r="D406" s="10"/>
      <c r="E406" s="10"/>
      <c r="F406" s="11"/>
      <c r="G406" s="11"/>
    </row>
    <row r="407" spans="1:7">
      <c r="A407" s="5"/>
      <c r="B407" s="5"/>
      <c r="C407" s="4"/>
      <c r="D407" s="10"/>
      <c r="E407" s="10"/>
      <c r="F407" s="11"/>
      <c r="G407" s="11"/>
    </row>
    <row r="408" spans="1:7">
      <c r="A408" s="5"/>
      <c r="B408" s="5"/>
      <c r="C408" s="4"/>
      <c r="D408" s="10"/>
      <c r="E408" s="10"/>
      <c r="F408" s="11"/>
      <c r="G408" s="11"/>
    </row>
    <row r="409" spans="1:7">
      <c r="A409" s="5"/>
      <c r="B409" s="5"/>
      <c r="C409" s="4"/>
      <c r="D409" s="10"/>
      <c r="E409" s="10"/>
      <c r="F409" s="11"/>
      <c r="G409" s="11"/>
    </row>
    <row r="410" spans="1:7">
      <c r="A410" s="5"/>
      <c r="B410" s="5"/>
      <c r="C410" s="4"/>
      <c r="D410" s="10"/>
      <c r="E410" s="10"/>
      <c r="F410" s="11"/>
      <c r="G410" s="11"/>
    </row>
    <row r="411" spans="1:7">
      <c r="A411" s="5"/>
      <c r="B411" s="5"/>
      <c r="C411" s="4"/>
      <c r="D411" s="10"/>
      <c r="E411" s="10"/>
      <c r="F411" s="11"/>
      <c r="G411" s="11"/>
    </row>
    <row r="412" spans="1:7">
      <c r="A412" s="5"/>
      <c r="B412" s="5"/>
      <c r="C412" s="4"/>
      <c r="D412" s="10"/>
      <c r="E412" s="10"/>
      <c r="F412" s="11"/>
      <c r="G412" s="11"/>
    </row>
    <row r="413" spans="1:7">
      <c r="C413" s="7"/>
      <c r="F413" s="109"/>
      <c r="G413" s="109"/>
    </row>
    <row r="414" spans="1:7">
      <c r="C414" s="7"/>
      <c r="F414" s="109"/>
      <c r="G414" s="109"/>
    </row>
    <row r="415" spans="1:7">
      <c r="A415" t="s">
        <v>166</v>
      </c>
      <c r="B415" t="s">
        <v>198</v>
      </c>
      <c r="C415" s="7"/>
      <c r="F415" s="109"/>
      <c r="G415" s="109"/>
    </row>
    <row r="416" spans="1:7">
      <c r="A416" t="s">
        <v>167</v>
      </c>
      <c r="B416" s="30" t="s">
        <v>61</v>
      </c>
      <c r="C416" s="7"/>
      <c r="F416" s="109"/>
      <c r="G416" s="109"/>
    </row>
    <row r="417" spans="1:7">
      <c r="C417" s="7"/>
      <c r="F417" s="109"/>
      <c r="G417" s="109"/>
    </row>
    <row r="418" spans="1:7">
      <c r="A418" s="145" t="s">
        <v>64</v>
      </c>
      <c r="B418" s="145" t="s">
        <v>66</v>
      </c>
      <c r="C418" s="145" t="s">
        <v>67</v>
      </c>
      <c r="D418" s="145" t="s">
        <v>68</v>
      </c>
      <c r="E418" s="145" t="s">
        <v>69</v>
      </c>
      <c r="F418" s="168" t="s">
        <v>130</v>
      </c>
      <c r="G418" s="168"/>
    </row>
    <row r="419" spans="1:7">
      <c r="A419" s="145"/>
      <c r="B419" s="145"/>
      <c r="C419" s="145"/>
      <c r="D419" s="145"/>
      <c r="E419" s="145"/>
      <c r="F419" s="85" t="s">
        <v>68</v>
      </c>
      <c r="G419" s="85" t="s">
        <v>69</v>
      </c>
    </row>
    <row r="420" spans="1:7">
      <c r="A420" s="5" t="s">
        <v>113</v>
      </c>
      <c r="B420" s="5"/>
      <c r="C420" s="4"/>
      <c r="D420" s="10"/>
      <c r="E420" s="10"/>
      <c r="F420" s="11"/>
      <c r="G420" s="11"/>
    </row>
    <row r="421" spans="1:7">
      <c r="A421" s="5">
        <v>31</v>
      </c>
      <c r="B421" s="5" t="s">
        <v>169</v>
      </c>
      <c r="C421" s="4" t="s">
        <v>173</v>
      </c>
      <c r="D421" s="10">
        <f>PC!L9</f>
        <v>400000</v>
      </c>
      <c r="E421" s="10"/>
      <c r="F421" s="11">
        <f>D421</f>
        <v>400000</v>
      </c>
      <c r="G421" s="11"/>
    </row>
    <row r="422" spans="1:7">
      <c r="A422" s="5"/>
      <c r="B422" s="5"/>
      <c r="C422" s="4"/>
      <c r="D422" s="10"/>
      <c r="E422" s="10"/>
      <c r="F422" s="11"/>
      <c r="G422" s="11"/>
    </row>
    <row r="423" spans="1:7">
      <c r="A423" s="5"/>
      <c r="B423" s="5"/>
      <c r="C423" s="4"/>
      <c r="D423" s="10"/>
      <c r="E423" s="10"/>
      <c r="F423" s="11"/>
      <c r="G423" s="11"/>
    </row>
    <row r="424" spans="1:7">
      <c r="A424" s="5"/>
      <c r="B424" s="5"/>
      <c r="C424" s="4"/>
      <c r="D424" s="10"/>
      <c r="E424" s="10"/>
      <c r="F424" s="11"/>
      <c r="G424" s="11"/>
    </row>
    <row r="425" spans="1:7">
      <c r="A425" s="5"/>
      <c r="B425" s="5"/>
      <c r="C425" s="4"/>
      <c r="D425" s="10"/>
      <c r="E425" s="10"/>
      <c r="F425" s="11"/>
      <c r="G425" s="11"/>
    </row>
    <row r="426" spans="1:7">
      <c r="A426" s="5"/>
      <c r="B426" s="5"/>
      <c r="C426" s="4"/>
      <c r="D426" s="10"/>
      <c r="E426" s="10"/>
      <c r="F426" s="11"/>
      <c r="G426" s="11"/>
    </row>
    <row r="427" spans="1:7">
      <c r="A427" s="5"/>
      <c r="B427" s="5"/>
      <c r="C427" s="4"/>
      <c r="D427" s="10"/>
      <c r="E427" s="10"/>
      <c r="F427" s="11"/>
      <c r="G427" s="11"/>
    </row>
    <row r="428" spans="1:7">
      <c r="C428" s="7"/>
      <c r="F428" s="135"/>
      <c r="G428" s="135"/>
    </row>
    <row r="429" spans="1:7">
      <c r="C429" s="7"/>
      <c r="F429" s="135"/>
      <c r="G429" s="135"/>
    </row>
    <row r="430" spans="1:7">
      <c r="F430" s="135"/>
      <c r="G430" s="135"/>
    </row>
    <row r="431" spans="1:7">
      <c r="F431" s="135"/>
      <c r="G431" s="135"/>
    </row>
  </sheetData>
  <mergeCells count="171">
    <mergeCell ref="A1:G1"/>
    <mergeCell ref="A2:G2"/>
    <mergeCell ref="A3:G3"/>
    <mergeCell ref="F8:G8"/>
    <mergeCell ref="F23:G23"/>
    <mergeCell ref="F38:G38"/>
    <mergeCell ref="F53:G53"/>
    <mergeCell ref="F68:G68"/>
    <mergeCell ref="F83:G83"/>
    <mergeCell ref="F98:G98"/>
    <mergeCell ref="F113:G113"/>
    <mergeCell ref="F129:G129"/>
    <mergeCell ref="F144:G144"/>
    <mergeCell ref="F159:G159"/>
    <mergeCell ref="F174:G174"/>
    <mergeCell ref="F189:G189"/>
    <mergeCell ref="F204:G204"/>
    <mergeCell ref="F219:G219"/>
    <mergeCell ref="F234:G234"/>
    <mergeCell ref="F249:G249"/>
    <mergeCell ref="F265:G265"/>
    <mergeCell ref="F281:G281"/>
    <mergeCell ref="F296:G296"/>
    <mergeCell ref="F311:G311"/>
    <mergeCell ref="F326:G326"/>
    <mergeCell ref="F341:G341"/>
    <mergeCell ref="F356:G356"/>
    <mergeCell ref="F373:G373"/>
    <mergeCell ref="F388:G388"/>
    <mergeCell ref="F403:G403"/>
    <mergeCell ref="F418:G418"/>
    <mergeCell ref="A8:A9"/>
    <mergeCell ref="A23:A24"/>
    <mergeCell ref="A38:A39"/>
    <mergeCell ref="A53:A54"/>
    <mergeCell ref="A68:A69"/>
    <mergeCell ref="A83:A84"/>
    <mergeCell ref="A98:A99"/>
    <mergeCell ref="A113:A114"/>
    <mergeCell ref="A129:A130"/>
    <mergeCell ref="A144:A145"/>
    <mergeCell ref="A159:A160"/>
    <mergeCell ref="A174:A175"/>
    <mergeCell ref="A189:A190"/>
    <mergeCell ref="A204:A205"/>
    <mergeCell ref="A219:A220"/>
    <mergeCell ref="A234:A235"/>
    <mergeCell ref="A249:A250"/>
    <mergeCell ref="A265:A266"/>
    <mergeCell ref="A281:A282"/>
    <mergeCell ref="A296:A297"/>
    <mergeCell ref="A311:A312"/>
    <mergeCell ref="A326:A327"/>
    <mergeCell ref="A341:A342"/>
    <mergeCell ref="A356:A357"/>
    <mergeCell ref="A373:A374"/>
    <mergeCell ref="A388:A389"/>
    <mergeCell ref="A403:A404"/>
    <mergeCell ref="A418:A419"/>
    <mergeCell ref="B8:B9"/>
    <mergeCell ref="B23:B24"/>
    <mergeCell ref="B38:B39"/>
    <mergeCell ref="B53:B54"/>
    <mergeCell ref="B68:B69"/>
    <mergeCell ref="B83:B84"/>
    <mergeCell ref="B98:B99"/>
    <mergeCell ref="B113:B114"/>
    <mergeCell ref="B129:B130"/>
    <mergeCell ref="B144:B145"/>
    <mergeCell ref="B159:B160"/>
    <mergeCell ref="B174:B175"/>
    <mergeCell ref="B189:B190"/>
    <mergeCell ref="B204:B205"/>
    <mergeCell ref="B219:B220"/>
    <mergeCell ref="B234:B235"/>
    <mergeCell ref="B249:B250"/>
    <mergeCell ref="B265:B266"/>
    <mergeCell ref="B281:B282"/>
    <mergeCell ref="B296:B297"/>
    <mergeCell ref="B311:B312"/>
    <mergeCell ref="B326:B327"/>
    <mergeCell ref="B341:B342"/>
    <mergeCell ref="B356:B357"/>
    <mergeCell ref="B373:B374"/>
    <mergeCell ref="B388:B389"/>
    <mergeCell ref="B403:B404"/>
    <mergeCell ref="B418:B419"/>
    <mergeCell ref="C8:C9"/>
    <mergeCell ref="C23:C24"/>
    <mergeCell ref="C38:C39"/>
    <mergeCell ref="C53:C54"/>
    <mergeCell ref="C68:C69"/>
    <mergeCell ref="C83:C84"/>
    <mergeCell ref="C98:C99"/>
    <mergeCell ref="C113:C114"/>
    <mergeCell ref="C129:C130"/>
    <mergeCell ref="C144:C145"/>
    <mergeCell ref="C159:C160"/>
    <mergeCell ref="C174:C175"/>
    <mergeCell ref="C189:C190"/>
    <mergeCell ref="C204:C205"/>
    <mergeCell ref="C219:C220"/>
    <mergeCell ref="C234:C235"/>
    <mergeCell ref="C249:C250"/>
    <mergeCell ref="C265:C266"/>
    <mergeCell ref="C281:C282"/>
    <mergeCell ref="C296:C297"/>
    <mergeCell ref="C311:C312"/>
    <mergeCell ref="C326:C327"/>
    <mergeCell ref="C341:C342"/>
    <mergeCell ref="C356:C357"/>
    <mergeCell ref="C373:C374"/>
    <mergeCell ref="C388:C389"/>
    <mergeCell ref="C403:C404"/>
    <mergeCell ref="C418:C419"/>
    <mergeCell ref="D8:D9"/>
    <mergeCell ref="D23:D24"/>
    <mergeCell ref="D38:D39"/>
    <mergeCell ref="D53:D54"/>
    <mergeCell ref="D68:D69"/>
    <mergeCell ref="D83:D84"/>
    <mergeCell ref="D98:D99"/>
    <mergeCell ref="D113:D114"/>
    <mergeCell ref="D129:D130"/>
    <mergeCell ref="D144:D145"/>
    <mergeCell ref="D159:D160"/>
    <mergeCell ref="D174:D175"/>
    <mergeCell ref="D189:D190"/>
    <mergeCell ref="D204:D205"/>
    <mergeCell ref="D219:D220"/>
    <mergeCell ref="D234:D235"/>
    <mergeCell ref="D249:D250"/>
    <mergeCell ref="E249:E250"/>
    <mergeCell ref="E403:E404"/>
    <mergeCell ref="E418:E419"/>
    <mergeCell ref="E265:E266"/>
    <mergeCell ref="E281:E282"/>
    <mergeCell ref="E296:E297"/>
    <mergeCell ref="D265:D266"/>
    <mergeCell ref="D281:D282"/>
    <mergeCell ref="D296:D297"/>
    <mergeCell ref="D311:D312"/>
    <mergeCell ref="D326:D327"/>
    <mergeCell ref="D341:D342"/>
    <mergeCell ref="D356:D357"/>
    <mergeCell ref="D373:D374"/>
    <mergeCell ref="D388:D389"/>
    <mergeCell ref="E311:E312"/>
    <mergeCell ref="E326:E327"/>
    <mergeCell ref="E341:E342"/>
    <mergeCell ref="E356:E357"/>
    <mergeCell ref="E373:E374"/>
    <mergeCell ref="E388:E389"/>
    <mergeCell ref="D403:D404"/>
    <mergeCell ref="D418:D419"/>
    <mergeCell ref="E8:E9"/>
    <mergeCell ref="E23:E24"/>
    <mergeCell ref="E38:E39"/>
    <mergeCell ref="E53:E54"/>
    <mergeCell ref="E68:E69"/>
    <mergeCell ref="E83:E84"/>
    <mergeCell ref="E98:E99"/>
    <mergeCell ref="E113:E114"/>
    <mergeCell ref="E129:E130"/>
    <mergeCell ref="E144:E145"/>
    <mergeCell ref="E159:E160"/>
    <mergeCell ref="E174:E175"/>
    <mergeCell ref="E189:E190"/>
    <mergeCell ref="E204:E205"/>
    <mergeCell ref="E219:E220"/>
    <mergeCell ref="E234:E2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G36"/>
  <sheetViews>
    <sheetView topLeftCell="A16" zoomScale="71" zoomScaleNormal="71" workbookViewId="0">
      <selection activeCell="K22" sqref="K22"/>
    </sheetView>
  </sheetViews>
  <sheetFormatPr defaultColWidth="8.7265625" defaultRowHeight="14.5"/>
  <cols>
    <col min="2" max="2" width="32.08984375" customWidth="1"/>
    <col min="3" max="3" width="26.54296875" customWidth="1"/>
    <col min="4" max="4" width="31.7265625" customWidth="1"/>
    <col min="6" max="7" width="13"/>
  </cols>
  <sheetData>
    <row r="2" spans="1:4">
      <c r="A2" s="144" t="s">
        <v>0</v>
      </c>
      <c r="B2" s="144"/>
      <c r="C2" s="144"/>
      <c r="D2" s="144"/>
    </row>
    <row r="3" spans="1:4">
      <c r="A3" s="144"/>
      <c r="B3" s="144"/>
      <c r="C3" s="144"/>
      <c r="D3" s="144"/>
    </row>
    <row r="5" spans="1:4">
      <c r="A5" s="14" t="s">
        <v>1</v>
      </c>
      <c r="B5" s="14" t="s">
        <v>2</v>
      </c>
      <c r="C5" s="14" t="s">
        <v>3</v>
      </c>
      <c r="D5" s="15" t="s">
        <v>4</v>
      </c>
    </row>
    <row r="6" spans="1:4">
      <c r="A6" s="16" t="str">
        <f>'TB AWAL'!A6</f>
        <v>1-1100</v>
      </c>
      <c r="B6" s="17" t="str">
        <f>VLOOKUP(A6,'TB AWAL'!A5:D34,2,FALSE)</f>
        <v>Cash in bank</v>
      </c>
      <c r="C6" s="18">
        <f>GL!F13</f>
        <v>122587382</v>
      </c>
      <c r="D6" s="19"/>
    </row>
    <row r="7" spans="1:4">
      <c r="A7" s="16" t="str">
        <f>'TB AWAL'!A7</f>
        <v>1-1200</v>
      </c>
      <c r="B7" s="17" t="str">
        <f>VLOOKUP(A7,'TB AWAL'!A6:D35,2,FALSE)</f>
        <v>Petty Cash</v>
      </c>
      <c r="C7" s="20">
        <f>GL!F27</f>
        <v>2651900</v>
      </c>
      <c r="D7" s="19"/>
    </row>
    <row r="8" spans="1:4">
      <c r="A8" s="16" t="str">
        <f>'TB AWAL'!A8</f>
        <v>1-1300</v>
      </c>
      <c r="B8" s="17" t="str">
        <f>VLOOKUP(A8,'TB AWAL'!A7:D36,2,FALSE)</f>
        <v>Accounts Receivable</v>
      </c>
      <c r="C8" s="21">
        <f>GL!F43</f>
        <v>6328000</v>
      </c>
      <c r="D8" s="22"/>
    </row>
    <row r="9" spans="1:4">
      <c r="A9" s="16" t="str">
        <f>'TB AWAL'!A9</f>
        <v>1-1400</v>
      </c>
      <c r="B9" s="17" t="str">
        <f>VLOOKUP(A9,'TB AWAL'!A8:D37,2,FALSE)</f>
        <v>Allowance for Doubtful Debt</v>
      </c>
      <c r="C9" s="23"/>
      <c r="D9" s="24">
        <f>GL!G56</f>
        <v>2500000</v>
      </c>
    </row>
    <row r="10" spans="1:4">
      <c r="A10" s="16" t="str">
        <f>'TB AWAL'!A10</f>
        <v>1-1500</v>
      </c>
      <c r="B10" s="17" t="str">
        <f>VLOOKUP(A10,'TB AWAL'!A9:D38,2,FALSE)</f>
        <v>Merchandise Inventory</v>
      </c>
      <c r="C10" s="25">
        <f>GL!F75</f>
        <v>3761000</v>
      </c>
      <c r="D10" s="22"/>
    </row>
    <row r="11" spans="1:4">
      <c r="A11" s="16" t="str">
        <f>'TB AWAL'!A11</f>
        <v>1-1600</v>
      </c>
      <c r="B11" s="17" t="str">
        <f>VLOOKUP(A11,'TB AWAL'!A10:D39,2,FALSE)</f>
        <v>Store Supplies</v>
      </c>
      <c r="C11" s="26">
        <f>GL!F87</f>
        <v>4168100</v>
      </c>
      <c r="D11" s="22"/>
    </row>
    <row r="12" spans="1:4">
      <c r="A12" s="16" t="str">
        <f>'TB AWAL'!A12</f>
        <v>1-1700</v>
      </c>
      <c r="B12" s="17" t="str">
        <f>VLOOKUP(A12,'TB AWAL'!A11:D40,2,FALSE)</f>
        <v>Prepaid Insurance</v>
      </c>
      <c r="C12" s="27">
        <f>GL!F101</f>
        <v>1230000</v>
      </c>
      <c r="D12" s="22"/>
    </row>
    <row r="13" spans="1:4">
      <c r="A13" s="61" t="str">
        <f>'TB AWAL'!A13</f>
        <v>1-2100</v>
      </c>
      <c r="B13" s="17" t="str">
        <f>VLOOKUP(A13,'TB AWAL'!A12:D41,2,FALSE)</f>
        <v>Equipment at Cost</v>
      </c>
      <c r="C13" s="27">
        <f>GL!F116</f>
        <v>7245000</v>
      </c>
      <c r="D13" s="16"/>
    </row>
    <row r="14" spans="1:4">
      <c r="A14" s="62" t="str">
        <f>'TB AWAL'!A14</f>
        <v>1-2110</v>
      </c>
      <c r="B14" s="17" t="str">
        <f>VLOOKUP(A14,'TB AWAL'!A13:D42,2,FALSE)</f>
        <v>Equipment Accum Dep</v>
      </c>
      <c r="C14" s="27"/>
      <c r="D14" s="22">
        <f>GL!G132</f>
        <v>3421250</v>
      </c>
    </row>
    <row r="15" spans="1:4">
      <c r="A15" s="16" t="str">
        <f>'TB AWAL'!A15</f>
        <v>2-1100</v>
      </c>
      <c r="B15" s="17" t="str">
        <f>VLOOKUP(A15,'TB AWAL'!A14:D43,2,FALSE)</f>
        <v>Accounts Payable</v>
      </c>
      <c r="C15" s="27"/>
      <c r="D15" s="22">
        <f>GL!G150</f>
        <v>31380100</v>
      </c>
    </row>
    <row r="16" spans="1:4">
      <c r="A16" s="16" t="str">
        <f>'TB AWAL'!A16</f>
        <v>2-1200</v>
      </c>
      <c r="B16" s="17" t="str">
        <f>VLOOKUP(A16,'TB AWAL'!A15:D44,2,FALSE)</f>
        <v>Expense Payable</v>
      </c>
      <c r="C16" s="27"/>
      <c r="D16" s="28">
        <f>GL!G163</f>
        <v>2680000</v>
      </c>
    </row>
    <row r="17" spans="1:4">
      <c r="A17" s="16" t="str">
        <f>'TB AWAL'!A17</f>
        <v>2-1400</v>
      </c>
      <c r="B17" s="17" t="str">
        <f>VLOOKUP(A17,'TB AWAL'!A16:D45,2,FALSE)</f>
        <v>PPN Payable</v>
      </c>
      <c r="C17" s="27"/>
      <c r="D17" s="28"/>
    </row>
    <row r="18" spans="1:4">
      <c r="A18" s="16" t="str">
        <f>'TB AWAL'!A18</f>
        <v>2-1500</v>
      </c>
      <c r="B18" s="17" t="str">
        <f>VLOOKUP(A18,'TB AWAL'!A17:D46,2,FALSE)</f>
        <v>PPN Outcome</v>
      </c>
      <c r="C18" s="27"/>
      <c r="D18" s="22">
        <f>GL!G194</f>
        <v>4009775</v>
      </c>
    </row>
    <row r="19" spans="1:4">
      <c r="A19" s="16" t="str">
        <f>'TB AWAL'!A19</f>
        <v>2-1600</v>
      </c>
      <c r="B19" s="17" t="str">
        <f>VLOOKUP(A19,'TB AWAL'!A18:D47,2,FALSE)</f>
        <v>PPN Income</v>
      </c>
      <c r="C19" s="27">
        <f>GL!F209</f>
        <v>2993100</v>
      </c>
      <c r="D19" s="22"/>
    </row>
    <row r="20" spans="1:4">
      <c r="A20" s="16" t="str">
        <f>'TB AWAL'!A20</f>
        <v>3-1100</v>
      </c>
      <c r="B20" s="17" t="str">
        <f>VLOOKUP(A20,'TB AWAL'!A19:D48,2,FALSE)</f>
        <v>KOPMEN SBW Capital</v>
      </c>
      <c r="C20" s="27"/>
      <c r="D20" s="22">
        <f>GL!G222</f>
        <v>101298000</v>
      </c>
    </row>
    <row r="21" spans="1:4">
      <c r="A21" s="16" t="str">
        <f>'TB AWAL'!A21</f>
        <v>3-1200</v>
      </c>
      <c r="B21" s="17" t="str">
        <f>VLOOKUP(A21,'TB AWAL'!A20:D49,2,FALSE)</f>
        <v>KOPMEN SBW Drawing</v>
      </c>
      <c r="C21" s="27">
        <f>GL!F238</f>
        <v>600000</v>
      </c>
      <c r="D21" s="22"/>
    </row>
    <row r="22" spans="1:4">
      <c r="A22" s="16" t="str">
        <f>'TB AWAL'!A22</f>
        <v>3-1300</v>
      </c>
      <c r="B22" s="17" t="str">
        <f>VLOOKUP(A22,'TB AWAL'!A21:D50,2,FALSE)</f>
        <v>Income Summary</v>
      </c>
      <c r="C22" s="27"/>
      <c r="D22" s="22"/>
    </row>
    <row r="23" spans="1:4">
      <c r="A23" s="16" t="str">
        <f>'TB AWAL'!A23</f>
        <v>4-1100</v>
      </c>
      <c r="B23" s="17" t="str">
        <f>VLOOKUP(A23,'TB AWAL'!A22:D51,2,FALSE)</f>
        <v>Sales</v>
      </c>
      <c r="C23" s="27"/>
      <c r="D23" s="22">
        <f>GL!G270</f>
        <v>32723950</v>
      </c>
    </row>
    <row r="24" spans="1:4">
      <c r="A24" s="16" t="str">
        <f>'TB AWAL'!A24</f>
        <v>4-1200</v>
      </c>
      <c r="B24" s="17" t="str">
        <f>VLOOKUP(A24,'TB AWAL'!A23:D52,2,FALSE)</f>
        <v>Sales Retur</v>
      </c>
      <c r="C24" s="27"/>
      <c r="D24" s="22"/>
    </row>
    <row r="25" spans="1:4">
      <c r="A25" s="16" t="str">
        <f>'TB AWAL'!A25</f>
        <v>4-1400</v>
      </c>
      <c r="B25" s="17" t="str">
        <f>VLOOKUP(A25,'TB AWAL'!A24:D53,2,FALSE)</f>
        <v>Freight Collected</v>
      </c>
      <c r="C25" s="27"/>
      <c r="D25" s="22">
        <f>GL!G299</f>
        <v>621050</v>
      </c>
    </row>
    <row r="26" spans="1:4">
      <c r="A26" s="16" t="str">
        <f>'TB AWAL'!A26</f>
        <v>5-1100</v>
      </c>
      <c r="B26" s="17" t="str">
        <f>VLOOKUP(A26,'TB AWAL'!A25:D54,2,FALSE)</f>
        <v>Cost of goods Sold</v>
      </c>
      <c r="C26" s="27">
        <f>GL!F315</f>
        <v>22092500</v>
      </c>
      <c r="D26" s="22"/>
    </row>
    <row r="27" spans="1:4">
      <c r="A27" s="16" t="str">
        <f>'TB AWAL'!A27</f>
        <v>5-1200</v>
      </c>
      <c r="B27" s="17" t="str">
        <f>VLOOKUP(A27,'TB AWAL'!A26:D55,2,FALSE)</f>
        <v xml:space="preserve">Freight Paid </v>
      </c>
      <c r="C27" s="27">
        <f>GL!F329</f>
        <v>970000</v>
      </c>
      <c r="D27" s="22"/>
    </row>
    <row r="28" spans="1:4" ht="25">
      <c r="A28" s="16" t="str">
        <f>'TB AWAL'!A28</f>
        <v>6-1100</v>
      </c>
      <c r="B28" s="17" t="str">
        <f>VLOOKUP(A28,'TB AWAL'!A27:D56,2,FALSE)</f>
        <v>Electricity, Internet &amp; Water expenses</v>
      </c>
      <c r="C28" s="27">
        <f>GL!F344</f>
        <v>3607143</v>
      </c>
      <c r="D28" s="22"/>
    </row>
    <row r="29" spans="1:4">
      <c r="A29" s="16" t="str">
        <f>'TB AWAL'!A29</f>
        <v>6-1200</v>
      </c>
      <c r="B29" s="17" t="str">
        <f>VLOOKUP(A29,'TB AWAL'!A28:D57,2,FALSE)</f>
        <v>Store Supplies Expenses</v>
      </c>
      <c r="C29" s="27"/>
      <c r="D29" s="22"/>
    </row>
    <row r="30" spans="1:4">
      <c r="A30" s="16" t="s">
        <v>53</v>
      </c>
      <c r="B30" s="17" t="s">
        <v>54</v>
      </c>
      <c r="C30" s="27"/>
      <c r="D30" s="22" t="s">
        <v>43</v>
      </c>
    </row>
    <row r="31" spans="1:4">
      <c r="A31" s="16" t="str">
        <f>'TB AWAL'!A31</f>
        <v>6-1400</v>
      </c>
      <c r="B31" s="17" t="str">
        <f>VLOOKUP(A31,'TB AWAL'!A30:D59,2,FALSE)</f>
        <v>Depreciation Expense</v>
      </c>
      <c r="C31" s="63" t="s">
        <v>43</v>
      </c>
      <c r="D31" s="22"/>
    </row>
    <row r="32" spans="1:4">
      <c r="A32" s="16" t="str">
        <f>'TB AWAL'!A32</f>
        <v>6-1500</v>
      </c>
      <c r="B32" s="17" t="str">
        <f>VLOOKUP(A32,'TB AWAL'!A31:D60,2,FALSE)</f>
        <v>Insurance Expense</v>
      </c>
      <c r="C32" s="63" t="s">
        <v>43</v>
      </c>
      <c r="D32" s="22"/>
    </row>
    <row r="33" spans="1:7">
      <c r="A33" s="16" t="str">
        <f>'TB AWAL'!A33</f>
        <v>6-1700</v>
      </c>
      <c r="B33" s="17" t="str">
        <f>VLOOKUP(A33,'TB AWAL'!A32:D61,2,FALSE)</f>
        <v>Wages &amp; Salaries</v>
      </c>
      <c r="C33" s="27"/>
      <c r="D33" s="22"/>
    </row>
    <row r="34" spans="1:7" ht="15" thickBot="1">
      <c r="A34" s="16" t="str">
        <f>'TB AWAL'!A34</f>
        <v>6-1800</v>
      </c>
      <c r="B34" s="17" t="str">
        <f>VLOOKUP(A34,'TB AWAL'!A33:D62,2,FALSE)</f>
        <v>Other Operating Expense</v>
      </c>
      <c r="C34" s="27">
        <f>GL!F421</f>
        <v>400000</v>
      </c>
      <c r="D34" s="22"/>
    </row>
    <row r="35" spans="1:7" ht="15" thickBot="1">
      <c r="A35" s="81"/>
      <c r="B35" s="96" t="s">
        <v>117</v>
      </c>
      <c r="C35" s="83">
        <f>SUM(C6:C34)</f>
        <v>178634125</v>
      </c>
      <c r="D35" s="84">
        <f>SUM(D9:D25)</f>
        <v>178634125</v>
      </c>
      <c r="F35" s="1"/>
    </row>
    <row r="36" spans="1:7">
      <c r="G36" s="1"/>
    </row>
  </sheetData>
  <mergeCells count="1">
    <mergeCell ref="A2:D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4"/>
  <sheetViews>
    <sheetView zoomScale="71" zoomScaleNormal="71" workbookViewId="0">
      <selection activeCell="K17" sqref="K17"/>
    </sheetView>
  </sheetViews>
  <sheetFormatPr defaultColWidth="9" defaultRowHeight="14.5"/>
  <cols>
    <col min="3" max="3" width="41.54296875" customWidth="1"/>
    <col min="5" max="5" width="20.08984375" customWidth="1"/>
    <col min="6" max="6" width="19.81640625" customWidth="1"/>
  </cols>
  <sheetData>
    <row r="1" spans="1:6">
      <c r="A1" s="162"/>
      <c r="B1" s="162"/>
      <c r="C1" s="162"/>
      <c r="D1" s="162"/>
      <c r="E1" s="162"/>
      <c r="F1" s="162"/>
    </row>
    <row r="2" spans="1:6">
      <c r="A2" s="169" t="s">
        <v>199</v>
      </c>
      <c r="B2" s="169"/>
      <c r="C2" s="169"/>
      <c r="D2" s="169"/>
      <c r="E2" s="169"/>
      <c r="F2" s="169"/>
    </row>
    <row r="3" spans="1:6">
      <c r="A3" s="162"/>
      <c r="B3" s="162"/>
      <c r="C3" s="162"/>
      <c r="D3" s="162"/>
      <c r="E3" s="162"/>
      <c r="F3" s="162"/>
    </row>
    <row r="5" spans="1:6">
      <c r="A5" s="152" t="s">
        <v>64</v>
      </c>
      <c r="B5" s="152" t="s">
        <v>119</v>
      </c>
      <c r="C5" s="152" t="s">
        <v>66</v>
      </c>
      <c r="D5" s="152" t="s">
        <v>120</v>
      </c>
      <c r="E5" s="152" t="s">
        <v>3</v>
      </c>
      <c r="F5" s="152" t="s">
        <v>69</v>
      </c>
    </row>
    <row r="6" spans="1:6">
      <c r="A6" s="154"/>
      <c r="B6" s="154"/>
      <c r="C6" s="154"/>
      <c r="D6" s="154"/>
      <c r="E6" s="154"/>
      <c r="F6" s="154"/>
    </row>
    <row r="7" spans="1:6">
      <c r="A7" s="5" t="s">
        <v>76</v>
      </c>
      <c r="B7" s="5"/>
      <c r="C7" s="5"/>
      <c r="D7" s="5"/>
      <c r="E7" s="10"/>
      <c r="F7" s="10"/>
    </row>
    <row r="8" spans="1:6">
      <c r="A8" s="5">
        <v>30</v>
      </c>
      <c r="B8" s="4" t="s">
        <v>200</v>
      </c>
      <c r="C8" s="12" t="s">
        <v>201</v>
      </c>
      <c r="D8" s="5"/>
      <c r="E8" s="10">
        <v>750000</v>
      </c>
      <c r="F8" s="10"/>
    </row>
    <row r="9" spans="1:6">
      <c r="A9" s="5"/>
      <c r="B9" s="5"/>
      <c r="C9" s="13" t="s">
        <v>16</v>
      </c>
      <c r="D9" s="5"/>
      <c r="E9" s="10"/>
      <c r="F9" s="10">
        <f>E8</f>
        <v>750000</v>
      </c>
    </row>
    <row r="10" spans="1:6">
      <c r="A10" s="5">
        <v>30</v>
      </c>
      <c r="B10" s="4" t="s">
        <v>200</v>
      </c>
      <c r="C10" s="12" t="s">
        <v>58</v>
      </c>
      <c r="D10" s="5"/>
      <c r="E10" s="10">
        <v>150000</v>
      </c>
      <c r="F10" s="10"/>
    </row>
    <row r="11" spans="1:6">
      <c r="A11" s="5"/>
      <c r="B11" s="4"/>
      <c r="C11" s="13" t="s">
        <v>18</v>
      </c>
      <c r="D11" s="5"/>
      <c r="E11" s="10"/>
      <c r="F11" s="10">
        <v>150000</v>
      </c>
    </row>
    <row r="12" spans="1:6">
      <c r="A12" s="5">
        <v>30</v>
      </c>
      <c r="B12" s="4" t="s">
        <v>200</v>
      </c>
      <c r="C12" s="12" t="s">
        <v>56</v>
      </c>
      <c r="D12" s="5"/>
      <c r="E12" s="10">
        <v>201250</v>
      </c>
      <c r="F12" s="10"/>
    </row>
    <row r="13" spans="1:6">
      <c r="A13" s="5"/>
      <c r="B13" s="4"/>
      <c r="C13" s="13" t="s">
        <v>22</v>
      </c>
      <c r="D13" s="5"/>
      <c r="E13" s="10"/>
      <c r="F13" s="10">
        <v>201250</v>
      </c>
    </row>
    <row r="14" spans="1:6">
      <c r="A14" s="5">
        <v>30</v>
      </c>
      <c r="B14" s="4" t="s">
        <v>200</v>
      </c>
      <c r="C14" s="12" t="s">
        <v>202</v>
      </c>
      <c r="D14" s="5"/>
      <c r="E14" s="10">
        <v>532885</v>
      </c>
      <c r="F14" s="10"/>
    </row>
    <row r="15" spans="1:6">
      <c r="A15" s="5"/>
      <c r="B15" s="4"/>
      <c r="C15" s="13" t="s">
        <v>54</v>
      </c>
      <c r="D15" s="5"/>
      <c r="E15" s="10"/>
      <c r="F15" s="10">
        <v>532885</v>
      </c>
    </row>
    <row r="16" spans="1:6">
      <c r="A16" s="5">
        <v>30</v>
      </c>
      <c r="B16" s="4" t="s">
        <v>200</v>
      </c>
      <c r="C16" s="12" t="s">
        <v>30</v>
      </c>
      <c r="D16" s="5"/>
      <c r="E16" s="10">
        <f>TB!D18</f>
        <v>4009775</v>
      </c>
      <c r="F16" s="10"/>
    </row>
    <row r="17" spans="1:6">
      <c r="A17" s="5"/>
      <c r="B17" s="5"/>
      <c r="C17" s="13" t="s">
        <v>203</v>
      </c>
      <c r="D17" s="5"/>
      <c r="E17" s="10"/>
      <c r="F17" s="10">
        <f>TB!C19</f>
        <v>2993100</v>
      </c>
    </row>
    <row r="18" spans="1:6">
      <c r="A18" s="5"/>
      <c r="B18" s="5"/>
      <c r="C18" s="13" t="s">
        <v>28</v>
      </c>
      <c r="D18" s="5"/>
      <c r="E18" s="10"/>
      <c r="F18" s="10">
        <f>E16-F17</f>
        <v>1016675</v>
      </c>
    </row>
    <row r="19" spans="1:6">
      <c r="A19" s="5"/>
      <c r="B19" s="5"/>
      <c r="C19" s="13"/>
      <c r="D19" s="5"/>
      <c r="E19" s="10"/>
      <c r="F19" s="10"/>
    </row>
    <row r="20" spans="1:6">
      <c r="A20" s="5"/>
      <c r="B20" s="5"/>
      <c r="C20" s="5"/>
      <c r="D20" s="5"/>
      <c r="E20" s="10"/>
      <c r="F20" s="10"/>
    </row>
    <row r="21" spans="1:6">
      <c r="A21" s="5"/>
      <c r="B21" s="5"/>
      <c r="C21" s="5"/>
      <c r="D21" s="5"/>
      <c r="E21" s="10"/>
      <c r="F21" s="10"/>
    </row>
    <row r="22" spans="1:6">
      <c r="A22" s="5"/>
      <c r="B22" s="5"/>
      <c r="C22" s="5"/>
      <c r="D22" s="5"/>
      <c r="E22" s="10"/>
      <c r="F22" s="10"/>
    </row>
    <row r="23" spans="1:6">
      <c r="A23" s="5"/>
      <c r="B23" s="5"/>
      <c r="C23" s="5"/>
      <c r="D23" s="5"/>
      <c r="E23" s="10"/>
      <c r="F23" s="10"/>
    </row>
    <row r="24" spans="1:6">
      <c r="A24" s="88"/>
      <c r="B24" s="88"/>
      <c r="C24" s="97" t="s">
        <v>117</v>
      </c>
      <c r="D24" s="88"/>
      <c r="E24" s="93">
        <f>SUM(E7:E23)</f>
        <v>5643910</v>
      </c>
      <c r="F24" s="93">
        <f>SUM(F7:F23)</f>
        <v>5643910</v>
      </c>
    </row>
  </sheetData>
  <mergeCells count="9">
    <mergeCell ref="A1:F1"/>
    <mergeCell ref="A2:F2"/>
    <mergeCell ref="A3:F3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L40"/>
  <sheetViews>
    <sheetView topLeftCell="B15" zoomScale="68" zoomScaleNormal="53" workbookViewId="0">
      <selection activeCell="G41" sqref="G41"/>
    </sheetView>
  </sheetViews>
  <sheetFormatPr defaultColWidth="9" defaultRowHeight="14.5"/>
  <cols>
    <col min="1" max="1" width="10.81640625" customWidth="1"/>
    <col min="2" max="2" width="33.36328125" customWidth="1"/>
    <col min="3" max="12" width="19.7265625" customWidth="1"/>
  </cols>
  <sheetData>
    <row r="2" spans="1:12">
      <c r="A2" s="170" t="s">
        <v>204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</row>
    <row r="4" spans="1:12">
      <c r="A4" s="173" t="s">
        <v>1</v>
      </c>
      <c r="B4" s="173" t="s">
        <v>205</v>
      </c>
      <c r="C4" s="171" t="s">
        <v>206</v>
      </c>
      <c r="D4" s="172"/>
      <c r="E4" s="171" t="s">
        <v>207</v>
      </c>
      <c r="F4" s="172"/>
      <c r="G4" s="171" t="s">
        <v>208</v>
      </c>
      <c r="H4" s="172"/>
      <c r="I4" s="171" t="s">
        <v>209</v>
      </c>
      <c r="J4" s="172"/>
      <c r="K4" s="171" t="s">
        <v>210</v>
      </c>
      <c r="L4" s="172"/>
    </row>
    <row r="5" spans="1:12" ht="21" customHeight="1">
      <c r="A5" s="174"/>
      <c r="B5" s="174"/>
      <c r="C5" s="8" t="s">
        <v>3</v>
      </c>
      <c r="D5" s="8" t="s">
        <v>69</v>
      </c>
      <c r="E5" s="8" t="s">
        <v>3</v>
      </c>
      <c r="F5" s="8" t="s">
        <v>69</v>
      </c>
      <c r="G5" s="8" t="s">
        <v>3</v>
      </c>
      <c r="H5" s="8" t="s">
        <v>69</v>
      </c>
      <c r="I5" s="8" t="s">
        <v>3</v>
      </c>
      <c r="J5" s="8" t="s">
        <v>69</v>
      </c>
      <c r="K5" s="8" t="s">
        <v>3</v>
      </c>
      <c r="L5" s="8" t="s">
        <v>69</v>
      </c>
    </row>
    <row r="6" spans="1:12">
      <c r="A6" s="9" t="str" cm="1">
        <f t="array" ref="A6:D34">TB!A6:D34</f>
        <v>1-1100</v>
      </c>
      <c r="B6" s="5" t="str">
        <v>Cash in bank</v>
      </c>
      <c r="C6" s="10">
        <v>122587382</v>
      </c>
      <c r="D6" s="10">
        <v>0</v>
      </c>
      <c r="E6" s="10"/>
      <c r="F6" s="10"/>
      <c r="G6" s="10">
        <f>C6</f>
        <v>122587382</v>
      </c>
      <c r="H6" s="10"/>
      <c r="I6" s="11"/>
      <c r="J6" s="11"/>
      <c r="K6" s="10">
        <f>G6</f>
        <v>122587382</v>
      </c>
      <c r="L6" s="10"/>
    </row>
    <row r="7" spans="1:12">
      <c r="A7" s="9" t="str">
        <v>1-1200</v>
      </c>
      <c r="B7" s="5" t="str">
        <v>Petty Cash</v>
      </c>
      <c r="C7" s="10">
        <v>2651900</v>
      </c>
      <c r="D7" s="10">
        <v>0</v>
      </c>
      <c r="E7" s="10"/>
      <c r="F7" s="10"/>
      <c r="G7" s="10">
        <f>C7</f>
        <v>2651900</v>
      </c>
      <c r="H7" s="10"/>
      <c r="I7" s="11"/>
      <c r="J7" s="11"/>
      <c r="K7" s="10">
        <f t="shared" ref="K7:K22" si="0">G7</f>
        <v>2651900</v>
      </c>
      <c r="L7" s="10"/>
    </row>
    <row r="8" spans="1:12">
      <c r="A8" s="9" t="str">
        <v>1-1300</v>
      </c>
      <c r="B8" s="5" t="str">
        <v>Accounts Receivable</v>
      </c>
      <c r="C8" s="10">
        <v>6328000</v>
      </c>
      <c r="D8" s="10">
        <v>0</v>
      </c>
      <c r="E8" s="10"/>
      <c r="F8" s="10"/>
      <c r="G8" s="10">
        <f>C8</f>
        <v>6328000</v>
      </c>
      <c r="H8" s="10"/>
      <c r="I8" s="11"/>
      <c r="J8" s="11"/>
      <c r="K8" s="10">
        <f t="shared" si="0"/>
        <v>6328000</v>
      </c>
      <c r="L8" s="10"/>
    </row>
    <row r="9" spans="1:12">
      <c r="A9" s="9" t="str">
        <v>1-1400</v>
      </c>
      <c r="B9" s="5" t="str">
        <v>Allowance for Doubtful Debt</v>
      </c>
      <c r="C9" s="10">
        <v>0</v>
      </c>
      <c r="D9" s="10">
        <v>2500000</v>
      </c>
      <c r="E9" s="10">
        <f>AJ!E14</f>
        <v>532885</v>
      </c>
      <c r="F9" s="10"/>
      <c r="G9" s="10"/>
      <c r="H9" s="10">
        <f>D9-E9</f>
        <v>1967115</v>
      </c>
      <c r="I9" s="11"/>
      <c r="J9" s="11"/>
      <c r="K9" s="10">
        <f t="shared" si="0"/>
        <v>0</v>
      </c>
      <c r="L9" s="10">
        <f>H9</f>
        <v>1967115</v>
      </c>
    </row>
    <row r="10" spans="1:12">
      <c r="A10" s="9" t="str">
        <v>1-1500</v>
      </c>
      <c r="B10" s="5" t="str">
        <v>Merchandise Inventory</v>
      </c>
      <c r="C10" s="10">
        <v>3761000</v>
      </c>
      <c r="D10" s="10">
        <v>0</v>
      </c>
      <c r="E10" s="10"/>
      <c r="F10" s="10"/>
      <c r="G10" s="10">
        <f>C10</f>
        <v>3761000</v>
      </c>
      <c r="H10" s="10"/>
      <c r="I10" s="11"/>
      <c r="J10" s="11"/>
      <c r="K10" s="10">
        <f t="shared" si="0"/>
        <v>3761000</v>
      </c>
      <c r="L10" s="10">
        <f t="shared" ref="L10:L22" si="1">H10</f>
        <v>0</v>
      </c>
    </row>
    <row r="11" spans="1:12">
      <c r="A11" s="9" t="str">
        <v>1-1600</v>
      </c>
      <c r="B11" s="5" t="str">
        <v>Store Supplies</v>
      </c>
      <c r="C11" s="10">
        <v>4168100</v>
      </c>
      <c r="D11" s="10">
        <v>0</v>
      </c>
      <c r="E11" s="10"/>
      <c r="F11" s="10">
        <f>AJ!F9</f>
        <v>750000</v>
      </c>
      <c r="G11" s="10">
        <f>C11-F11</f>
        <v>3418100</v>
      </c>
      <c r="H11" s="10"/>
      <c r="I11" s="11"/>
      <c r="J11" s="11"/>
      <c r="K11" s="10">
        <f t="shared" si="0"/>
        <v>3418100</v>
      </c>
      <c r="L11" s="10">
        <f t="shared" si="1"/>
        <v>0</v>
      </c>
    </row>
    <row r="12" spans="1:12">
      <c r="A12" s="9" t="str">
        <v>1-1700</v>
      </c>
      <c r="B12" s="5" t="str">
        <v>Prepaid Insurance</v>
      </c>
      <c r="C12" s="10">
        <v>1230000</v>
      </c>
      <c r="D12" s="10">
        <v>0</v>
      </c>
      <c r="E12" s="10"/>
      <c r="F12" s="10">
        <f>AJ!F11</f>
        <v>150000</v>
      </c>
      <c r="G12" s="10">
        <f>C12-F12</f>
        <v>1080000</v>
      </c>
      <c r="H12" s="10"/>
      <c r="I12" s="11"/>
      <c r="J12" s="11"/>
      <c r="K12" s="10">
        <f t="shared" si="0"/>
        <v>1080000</v>
      </c>
      <c r="L12" s="10">
        <f t="shared" si="1"/>
        <v>0</v>
      </c>
    </row>
    <row r="13" spans="1:12">
      <c r="A13" s="64" t="str">
        <v>1-2100</v>
      </c>
      <c r="B13" s="5" t="str">
        <v>Equipment at Cost</v>
      </c>
      <c r="C13" s="10">
        <v>7245000</v>
      </c>
      <c r="D13" s="10">
        <v>0</v>
      </c>
      <c r="E13" s="10"/>
      <c r="F13" s="10"/>
      <c r="G13" s="10">
        <f>C13</f>
        <v>7245000</v>
      </c>
      <c r="H13" s="10"/>
      <c r="I13" s="11"/>
      <c r="J13" s="11"/>
      <c r="K13" s="10">
        <f t="shared" si="0"/>
        <v>7245000</v>
      </c>
      <c r="L13" s="10">
        <f t="shared" si="1"/>
        <v>0</v>
      </c>
    </row>
    <row r="14" spans="1:12">
      <c r="A14" s="64" t="str">
        <v>1-2110</v>
      </c>
      <c r="B14" s="5" t="str">
        <v>Equipment Accum Dep</v>
      </c>
      <c r="C14" s="10">
        <v>0</v>
      </c>
      <c r="D14" s="10">
        <v>3421250</v>
      </c>
      <c r="E14" s="10"/>
      <c r="F14" s="10">
        <f>AJ!F13</f>
        <v>201250</v>
      </c>
      <c r="G14" s="10"/>
      <c r="H14" s="10">
        <f>SUM(D14:F14)</f>
        <v>3622500</v>
      </c>
      <c r="I14" s="11"/>
      <c r="J14" s="11"/>
      <c r="K14" s="10">
        <f t="shared" si="0"/>
        <v>0</v>
      </c>
      <c r="L14" s="10">
        <f t="shared" si="1"/>
        <v>3622500</v>
      </c>
    </row>
    <row r="15" spans="1:12">
      <c r="A15" s="9" t="str">
        <v>2-1100</v>
      </c>
      <c r="B15" s="5" t="str">
        <v>Accounts Payable</v>
      </c>
      <c r="C15" s="10">
        <v>0</v>
      </c>
      <c r="D15" s="10">
        <v>31380100</v>
      </c>
      <c r="E15" s="10"/>
      <c r="F15" s="10"/>
      <c r="G15" s="10"/>
      <c r="H15" s="10">
        <f>D15</f>
        <v>31380100</v>
      </c>
      <c r="I15" s="11"/>
      <c r="J15" s="11"/>
      <c r="K15" s="10">
        <f t="shared" si="0"/>
        <v>0</v>
      </c>
      <c r="L15" s="10">
        <f t="shared" si="1"/>
        <v>31380100</v>
      </c>
    </row>
    <row r="16" spans="1:12">
      <c r="A16" s="9" t="str">
        <v>2-1200</v>
      </c>
      <c r="B16" s="5" t="str">
        <v>Expense Payable</v>
      </c>
      <c r="C16" s="10">
        <v>0</v>
      </c>
      <c r="D16" s="10">
        <v>2680000</v>
      </c>
      <c r="E16" s="10"/>
      <c r="F16" s="10"/>
      <c r="G16" s="10"/>
      <c r="H16" s="10">
        <f>D16</f>
        <v>2680000</v>
      </c>
      <c r="I16" s="11"/>
      <c r="J16" s="11"/>
      <c r="K16" s="10"/>
      <c r="L16" s="10">
        <f>H16</f>
        <v>2680000</v>
      </c>
    </row>
    <row r="17" spans="1:12">
      <c r="A17" s="9" t="str">
        <v>2-1400</v>
      </c>
      <c r="B17" s="5" t="str">
        <v>PPN Payable</v>
      </c>
      <c r="C17" s="10">
        <v>0</v>
      </c>
      <c r="D17" s="10">
        <v>0</v>
      </c>
      <c r="E17" s="10"/>
      <c r="F17" s="10">
        <f>AJ!F18</f>
        <v>1016675</v>
      </c>
      <c r="G17" s="10"/>
      <c r="H17" s="10">
        <f>F17</f>
        <v>1016675</v>
      </c>
      <c r="I17" s="11"/>
      <c r="J17" s="11"/>
      <c r="K17" s="10">
        <f t="shared" si="0"/>
        <v>0</v>
      </c>
      <c r="L17" s="10">
        <f t="shared" si="1"/>
        <v>1016675</v>
      </c>
    </row>
    <row r="18" spans="1:12">
      <c r="A18" s="9" t="str">
        <v>2-1500</v>
      </c>
      <c r="B18" s="5" t="str">
        <v>PPN Outcome</v>
      </c>
      <c r="C18" s="10">
        <v>0</v>
      </c>
      <c r="D18" s="10">
        <v>4009775</v>
      </c>
      <c r="E18" s="10">
        <f>AJ!E16</f>
        <v>4009775</v>
      </c>
      <c r="F18" s="10"/>
      <c r="G18" s="10"/>
      <c r="H18" s="10">
        <f>D18-E18</f>
        <v>0</v>
      </c>
      <c r="I18" s="11"/>
      <c r="J18" s="11"/>
      <c r="K18" s="10">
        <f t="shared" si="0"/>
        <v>0</v>
      </c>
      <c r="L18" s="10">
        <f t="shared" si="1"/>
        <v>0</v>
      </c>
    </row>
    <row r="19" spans="1:12">
      <c r="A19" s="9" t="str">
        <v>2-1600</v>
      </c>
      <c r="B19" s="5" t="str">
        <v>PPN Income</v>
      </c>
      <c r="C19" s="10">
        <v>2993100</v>
      </c>
      <c r="D19" s="10">
        <v>0</v>
      </c>
      <c r="E19" s="10"/>
      <c r="F19" s="10">
        <f>AJ!F17</f>
        <v>2993100</v>
      </c>
      <c r="G19" s="10">
        <f>C19-F19</f>
        <v>0</v>
      </c>
      <c r="H19" s="10"/>
      <c r="I19" s="11"/>
      <c r="J19" s="11"/>
      <c r="K19" s="10">
        <f t="shared" si="0"/>
        <v>0</v>
      </c>
      <c r="L19" s="10">
        <f t="shared" si="1"/>
        <v>0</v>
      </c>
    </row>
    <row r="20" spans="1:12">
      <c r="A20" s="9" t="str">
        <v>3-1100</v>
      </c>
      <c r="B20" s="5" t="str">
        <v>KOPMEN SBW Capital</v>
      </c>
      <c r="C20" s="10">
        <v>0</v>
      </c>
      <c r="D20" s="10">
        <v>101298000</v>
      </c>
      <c r="E20" s="10"/>
      <c r="F20" s="10"/>
      <c r="G20" s="10"/>
      <c r="H20" s="10">
        <f>D20</f>
        <v>101298000</v>
      </c>
      <c r="I20" s="11"/>
      <c r="J20" s="11"/>
      <c r="K20" s="10">
        <f t="shared" si="0"/>
        <v>0</v>
      </c>
      <c r="L20" s="10">
        <f t="shared" si="1"/>
        <v>101298000</v>
      </c>
    </row>
    <row r="21" spans="1:12">
      <c r="A21" s="9" t="str">
        <v>3-1200</v>
      </c>
      <c r="B21" s="5" t="str">
        <v>KOPMEN SBW Drawing</v>
      </c>
      <c r="C21" s="10">
        <v>600000</v>
      </c>
      <c r="D21" s="10">
        <v>0</v>
      </c>
      <c r="E21" s="10"/>
      <c r="F21" s="10"/>
      <c r="G21" s="10">
        <f>C21</f>
        <v>600000</v>
      </c>
      <c r="H21" s="10"/>
      <c r="I21" s="11"/>
      <c r="J21" s="11"/>
      <c r="K21" s="10">
        <f t="shared" si="0"/>
        <v>600000</v>
      </c>
      <c r="L21" s="10">
        <f t="shared" si="1"/>
        <v>0</v>
      </c>
    </row>
    <row r="22" spans="1:12">
      <c r="A22" s="9" t="str">
        <v>3-1300</v>
      </c>
      <c r="B22" s="5" t="str">
        <v>Income Summary</v>
      </c>
      <c r="C22" s="10">
        <v>0</v>
      </c>
      <c r="D22" s="10">
        <v>0</v>
      </c>
      <c r="E22" s="10"/>
      <c r="F22" s="10"/>
      <c r="G22" s="10"/>
      <c r="H22" s="10"/>
      <c r="I22" s="11"/>
      <c r="J22" s="11"/>
      <c r="K22" s="10">
        <f t="shared" si="0"/>
        <v>0</v>
      </c>
      <c r="L22" s="10">
        <f t="shared" si="1"/>
        <v>0</v>
      </c>
    </row>
    <row r="23" spans="1:12">
      <c r="A23" s="85" t="str">
        <v>4-1100</v>
      </c>
      <c r="B23" s="5" t="str">
        <v>Sales</v>
      </c>
      <c r="C23" s="10">
        <v>0</v>
      </c>
      <c r="D23" s="10">
        <v>32723950</v>
      </c>
      <c r="E23" s="10"/>
      <c r="F23" s="10"/>
      <c r="G23" s="10"/>
      <c r="H23" s="10">
        <f>D23</f>
        <v>32723950</v>
      </c>
      <c r="I23" s="11"/>
      <c r="J23" s="11">
        <f>H23</f>
        <v>32723950</v>
      </c>
      <c r="K23" s="11"/>
      <c r="L23" s="11"/>
    </row>
    <row r="24" spans="1:12">
      <c r="A24" s="9" t="str">
        <v>4-1200</v>
      </c>
      <c r="B24" s="5" t="str">
        <v>Sales Retur</v>
      </c>
      <c r="C24" s="10">
        <v>0</v>
      </c>
      <c r="D24" s="10">
        <v>0</v>
      </c>
      <c r="E24" s="10"/>
      <c r="F24" s="10"/>
      <c r="G24" s="10"/>
      <c r="H24" s="10"/>
      <c r="I24" s="10"/>
      <c r="J24" s="11">
        <f t="shared" ref="J24:J35" si="2">H24</f>
        <v>0</v>
      </c>
      <c r="K24" s="11"/>
      <c r="L24" s="11"/>
    </row>
    <row r="25" spans="1:12">
      <c r="A25" s="9" t="str">
        <v>4-1400</v>
      </c>
      <c r="B25" s="5" t="str">
        <v>Freight Collected</v>
      </c>
      <c r="C25" s="10">
        <v>0</v>
      </c>
      <c r="D25" s="10">
        <v>621050</v>
      </c>
      <c r="E25" s="10"/>
      <c r="F25" s="10"/>
      <c r="G25" s="10"/>
      <c r="H25" s="10">
        <f>D25</f>
        <v>621050</v>
      </c>
      <c r="I25" s="10"/>
      <c r="J25" s="11">
        <f t="shared" si="2"/>
        <v>621050</v>
      </c>
      <c r="K25" s="11"/>
      <c r="L25" s="11"/>
    </row>
    <row r="26" spans="1:12">
      <c r="A26" s="9" t="str">
        <v>5-1100</v>
      </c>
      <c r="B26" s="5" t="str">
        <v>Cost of goods Sold</v>
      </c>
      <c r="C26" s="10">
        <v>22092500</v>
      </c>
      <c r="D26" s="10">
        <v>0</v>
      </c>
      <c r="E26" s="10"/>
      <c r="F26" s="10"/>
      <c r="G26" s="10">
        <f>C26</f>
        <v>22092500</v>
      </c>
      <c r="H26" s="10"/>
      <c r="I26" s="10">
        <f>G26</f>
        <v>22092500</v>
      </c>
      <c r="J26" s="11">
        <f t="shared" si="2"/>
        <v>0</v>
      </c>
      <c r="K26" s="11"/>
      <c r="L26" s="11"/>
    </row>
    <row r="27" spans="1:12">
      <c r="A27" s="9" t="str">
        <v>5-1200</v>
      </c>
      <c r="B27" s="5" t="str">
        <v xml:space="preserve">Freight Paid </v>
      </c>
      <c r="C27" s="10">
        <v>970000</v>
      </c>
      <c r="D27" s="10">
        <v>0</v>
      </c>
      <c r="E27" s="10"/>
      <c r="F27" s="10"/>
      <c r="G27" s="10">
        <f t="shared" ref="G27:G35" si="3">C27</f>
        <v>970000</v>
      </c>
      <c r="H27" s="10"/>
      <c r="I27" s="10">
        <f t="shared" ref="I27:I35" si="4">G27</f>
        <v>970000</v>
      </c>
      <c r="J27" s="11">
        <f t="shared" si="2"/>
        <v>0</v>
      </c>
      <c r="K27" s="11"/>
      <c r="L27" s="11"/>
    </row>
    <row r="28" spans="1:12">
      <c r="A28" s="9" t="str">
        <v>6-1100</v>
      </c>
      <c r="B28" s="5" t="str">
        <v>Electricity, Internet &amp; Water expenses</v>
      </c>
      <c r="C28" s="10">
        <v>3607143</v>
      </c>
      <c r="D28" s="10">
        <v>0</v>
      </c>
      <c r="E28" s="10"/>
      <c r="F28" s="10"/>
      <c r="G28" s="10">
        <f t="shared" si="3"/>
        <v>3607143</v>
      </c>
      <c r="H28" s="10"/>
      <c r="I28" s="10">
        <f t="shared" si="4"/>
        <v>3607143</v>
      </c>
      <c r="J28" s="11">
        <f t="shared" si="2"/>
        <v>0</v>
      </c>
      <c r="K28" s="11"/>
      <c r="L28" s="11"/>
    </row>
    <row r="29" spans="1:12">
      <c r="A29" s="9" t="str">
        <v>6-1200</v>
      </c>
      <c r="B29" s="5" t="str">
        <v>Store Supplies Expenses</v>
      </c>
      <c r="C29" s="10">
        <v>0</v>
      </c>
      <c r="D29" s="10">
        <v>0</v>
      </c>
      <c r="E29" s="10">
        <f>AJ!E8</f>
        <v>750000</v>
      </c>
      <c r="F29" s="10"/>
      <c r="G29" s="10">
        <f>E29</f>
        <v>750000</v>
      </c>
      <c r="H29" s="10"/>
      <c r="I29" s="10">
        <f t="shared" si="4"/>
        <v>750000</v>
      </c>
      <c r="J29" s="11">
        <f t="shared" si="2"/>
        <v>0</v>
      </c>
      <c r="K29" s="11"/>
      <c r="L29" s="11"/>
    </row>
    <row r="30" spans="1:12">
      <c r="A30" s="9" t="str">
        <v>6-1300</v>
      </c>
      <c r="B30" s="5" t="str">
        <v>Bad Debt Expense</v>
      </c>
      <c r="C30" s="10">
        <v>0</v>
      </c>
      <c r="D30" s="10" t="str">
        <v>-</v>
      </c>
      <c r="E30" s="10"/>
      <c r="F30" s="10">
        <f>AJ!F15</f>
        <v>532885</v>
      </c>
      <c r="G30" s="10">
        <f t="shared" si="3"/>
        <v>0</v>
      </c>
      <c r="H30" s="10">
        <f>F30</f>
        <v>532885</v>
      </c>
      <c r="I30" s="10">
        <f t="shared" si="4"/>
        <v>0</v>
      </c>
      <c r="J30" s="11">
        <f t="shared" si="2"/>
        <v>532885</v>
      </c>
      <c r="K30" s="11"/>
      <c r="L30" s="11"/>
    </row>
    <row r="31" spans="1:12">
      <c r="A31" s="9" t="str">
        <v>6-1400</v>
      </c>
      <c r="B31" s="5" t="str">
        <v>Depreciation Expense</v>
      </c>
      <c r="C31" s="65" t="str">
        <v>-</v>
      </c>
      <c r="D31" s="10">
        <v>0</v>
      </c>
      <c r="E31" s="10">
        <f>AJ!E12</f>
        <v>201250</v>
      </c>
      <c r="F31" s="10"/>
      <c r="G31" s="10">
        <f>E31</f>
        <v>201250</v>
      </c>
      <c r="H31" s="10"/>
      <c r="I31" s="10">
        <f t="shared" si="4"/>
        <v>201250</v>
      </c>
      <c r="J31" s="11">
        <f t="shared" si="2"/>
        <v>0</v>
      </c>
      <c r="K31" s="11"/>
      <c r="L31" s="11"/>
    </row>
    <row r="32" spans="1:12">
      <c r="A32" s="9" t="str">
        <v>6-1500</v>
      </c>
      <c r="B32" s="5" t="str">
        <v>Insurance Expense</v>
      </c>
      <c r="C32" s="65" t="str">
        <v>-</v>
      </c>
      <c r="D32" s="10">
        <v>0</v>
      </c>
      <c r="E32" s="10">
        <v>150000</v>
      </c>
      <c r="F32" s="10"/>
      <c r="G32" s="10">
        <f>E32</f>
        <v>150000</v>
      </c>
      <c r="H32" s="10"/>
      <c r="I32" s="10">
        <f t="shared" si="4"/>
        <v>150000</v>
      </c>
      <c r="J32" s="11">
        <f t="shared" si="2"/>
        <v>0</v>
      </c>
      <c r="K32" s="11"/>
      <c r="L32" s="11"/>
    </row>
    <row r="33" spans="1:12">
      <c r="A33" s="9" t="str">
        <v>6-1700</v>
      </c>
      <c r="B33" s="5" t="str">
        <v>Wages &amp; Salaries</v>
      </c>
      <c r="C33" s="10">
        <v>0</v>
      </c>
      <c r="D33" s="10">
        <v>0</v>
      </c>
      <c r="E33" s="10"/>
      <c r="F33" s="10"/>
      <c r="G33" s="10">
        <f t="shared" si="3"/>
        <v>0</v>
      </c>
      <c r="H33" s="10"/>
      <c r="I33" s="10">
        <f t="shared" si="4"/>
        <v>0</v>
      </c>
      <c r="J33" s="11">
        <f t="shared" si="2"/>
        <v>0</v>
      </c>
      <c r="K33" s="11"/>
      <c r="L33" s="11"/>
    </row>
    <row r="34" spans="1:12">
      <c r="A34" s="9" t="str">
        <v>6-1800</v>
      </c>
      <c r="B34" s="5" t="str">
        <v>Other Operating Expense</v>
      </c>
      <c r="C34" s="10">
        <v>400000</v>
      </c>
      <c r="D34" s="10">
        <v>0</v>
      </c>
      <c r="E34" s="10"/>
      <c r="F34" s="10"/>
      <c r="G34" s="10">
        <f t="shared" si="3"/>
        <v>400000</v>
      </c>
      <c r="H34" s="10"/>
      <c r="I34" s="10">
        <f t="shared" si="4"/>
        <v>400000</v>
      </c>
      <c r="J34" s="11">
        <f t="shared" si="2"/>
        <v>0</v>
      </c>
      <c r="K34" s="11"/>
      <c r="L34" s="11"/>
    </row>
    <row r="35" spans="1:12">
      <c r="A35" s="4"/>
      <c r="B35" s="5"/>
      <c r="C35" s="10"/>
      <c r="D35" s="10"/>
      <c r="E35" s="10"/>
      <c r="F35" s="10"/>
      <c r="G35" s="10">
        <f t="shared" si="3"/>
        <v>0</v>
      </c>
      <c r="H35" s="10"/>
      <c r="I35" s="10">
        <f t="shared" si="4"/>
        <v>0</v>
      </c>
      <c r="J35" s="11">
        <f t="shared" si="2"/>
        <v>0</v>
      </c>
      <c r="K35" s="11"/>
      <c r="L35" s="11"/>
    </row>
    <row r="36" spans="1:12">
      <c r="A36" s="5"/>
      <c r="B36" s="5"/>
      <c r="C36" s="99">
        <f>SUM(C6:C35)</f>
        <v>178634125</v>
      </c>
      <c r="D36" s="99">
        <f t="shared" ref="D36:G36" si="5">SUM(D6:D35)</f>
        <v>178634125</v>
      </c>
      <c r="E36" s="99">
        <f t="shared" si="5"/>
        <v>5643910</v>
      </c>
      <c r="F36" s="99">
        <f t="shared" si="5"/>
        <v>5643910</v>
      </c>
      <c r="G36" s="99">
        <f t="shared" si="5"/>
        <v>175842275</v>
      </c>
      <c r="H36" s="99">
        <f>SUM(H6:H35)</f>
        <v>175842275</v>
      </c>
      <c r="I36" s="99">
        <f>SUM(I26:I35)</f>
        <v>28170893</v>
      </c>
      <c r="J36" s="99">
        <f>SUM(J23:J25:J30)</f>
        <v>33877885</v>
      </c>
      <c r="K36" s="99">
        <f>SUM(K6:K21)</f>
        <v>147671382</v>
      </c>
      <c r="L36" s="99">
        <f>SUM(L9:L20)</f>
        <v>141964390</v>
      </c>
    </row>
    <row r="37" spans="1:12">
      <c r="A37" s="5"/>
      <c r="B37" s="5"/>
      <c r="C37" s="10"/>
      <c r="D37" s="10"/>
      <c r="E37" s="10"/>
      <c r="F37" s="10"/>
      <c r="G37" s="10"/>
      <c r="H37" s="10"/>
      <c r="I37" s="93">
        <f>J36-I36</f>
        <v>5706992</v>
      </c>
      <c r="J37" s="93"/>
      <c r="K37" s="93"/>
      <c r="L37" s="93">
        <f>K38-L36</f>
        <v>5706992</v>
      </c>
    </row>
    <row r="38" spans="1:12">
      <c r="A38" s="5"/>
      <c r="B38" s="5"/>
      <c r="C38" s="10"/>
      <c r="D38" s="10"/>
      <c r="E38" s="10"/>
      <c r="F38" s="10"/>
      <c r="G38" s="10"/>
      <c r="H38" s="10"/>
      <c r="I38" s="100">
        <f>SUM(I36:I37)</f>
        <v>33877885</v>
      </c>
      <c r="J38" s="100">
        <f>SUM(J23:J30)</f>
        <v>33877885</v>
      </c>
      <c r="K38" s="100">
        <f>SUM(K6:K22)</f>
        <v>147671382</v>
      </c>
      <c r="L38" s="100">
        <f>SUM(L36:L37)</f>
        <v>147671382</v>
      </c>
    </row>
    <row r="40" spans="1:12">
      <c r="G40" s="1"/>
    </row>
  </sheetData>
  <mergeCells count="8">
    <mergeCell ref="A2:L2"/>
    <mergeCell ref="C4:D4"/>
    <mergeCell ref="E4:F4"/>
    <mergeCell ref="G4:H4"/>
    <mergeCell ref="I4:J4"/>
    <mergeCell ref="K4:L4"/>
    <mergeCell ref="A4:A5"/>
    <mergeCell ref="B4:B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9"/>
  <sheetViews>
    <sheetView topLeftCell="A13" zoomScaleNormal="100" workbookViewId="0">
      <selection activeCell="J19" sqref="J19"/>
    </sheetView>
  </sheetViews>
  <sheetFormatPr defaultColWidth="9" defaultRowHeight="14.5"/>
  <cols>
    <col min="1" max="1" width="35.453125" customWidth="1"/>
    <col min="2" max="2" width="19.08984375" customWidth="1"/>
    <col min="3" max="3" width="18.7265625" customWidth="1"/>
    <col min="4" max="4" width="9.08984375" customWidth="1"/>
  </cols>
  <sheetData>
    <row r="1" spans="1:6">
      <c r="A1" s="162"/>
      <c r="B1" s="162"/>
      <c r="C1" s="162"/>
      <c r="D1" s="3"/>
      <c r="E1" s="3"/>
      <c r="F1" s="3"/>
    </row>
    <row r="2" spans="1:6">
      <c r="A2" s="162" t="s">
        <v>211</v>
      </c>
      <c r="B2" s="162"/>
      <c r="C2" s="162"/>
      <c r="D2" s="3"/>
      <c r="E2" s="3"/>
      <c r="F2" s="3"/>
    </row>
    <row r="3" spans="1:6">
      <c r="A3" s="162"/>
      <c r="B3" s="162"/>
      <c r="C3" s="162"/>
      <c r="D3" s="3"/>
      <c r="E3" s="3"/>
      <c r="F3" s="3"/>
    </row>
    <row r="5" spans="1:6" ht="15.5">
      <c r="A5" s="113" t="str">
        <f>NL!B23</f>
        <v>Sales</v>
      </c>
      <c r="B5" s="131">
        <f>NL!J23</f>
        <v>32723950</v>
      </c>
      <c r="C5" s="113"/>
    </row>
    <row r="6" spans="1:6" ht="15.5">
      <c r="A6" s="113" t="str">
        <f>NL!B24</f>
        <v>Sales Retur</v>
      </c>
      <c r="B6" s="131">
        <f>NL!J24</f>
        <v>0</v>
      </c>
      <c r="C6" s="113"/>
    </row>
    <row r="7" spans="1:6" ht="15.5">
      <c r="A7" s="113" t="str">
        <f>NL!B25</f>
        <v>Freight Collected</v>
      </c>
      <c r="B7" s="131">
        <f>NL!J25</f>
        <v>621050</v>
      </c>
      <c r="C7" s="113"/>
    </row>
    <row r="8" spans="1:6" ht="15.5">
      <c r="A8" s="111" t="s">
        <v>212</v>
      </c>
      <c r="B8" s="113"/>
      <c r="C8" s="131">
        <f>B5+B7</f>
        <v>33345000</v>
      </c>
    </row>
    <row r="9" spans="1:6" ht="15.5">
      <c r="A9" s="113" t="str">
        <f>NL!B26</f>
        <v>Cost of goods Sold</v>
      </c>
      <c r="B9" s="131">
        <f>-NL!I26</f>
        <v>-22092500</v>
      </c>
      <c r="C9" s="113"/>
    </row>
    <row r="10" spans="1:6" ht="15.5">
      <c r="A10" s="113" t="str">
        <f>NL!B27</f>
        <v xml:space="preserve">Freight Paid </v>
      </c>
      <c r="B10" s="131">
        <f>-NL!I27</f>
        <v>-970000</v>
      </c>
      <c r="C10" s="113"/>
    </row>
    <row r="11" spans="1:6" ht="15.5">
      <c r="A11" s="111" t="s">
        <v>213</v>
      </c>
      <c r="B11" s="131"/>
      <c r="C11" s="131">
        <f>B9+B10</f>
        <v>-23062500</v>
      </c>
    </row>
    <row r="12" spans="1:6" ht="15.5">
      <c r="A12" s="111" t="s">
        <v>214</v>
      </c>
      <c r="B12" s="113"/>
      <c r="C12" s="136">
        <f>C8+C11</f>
        <v>10282500</v>
      </c>
    </row>
    <row r="13" spans="1:6" ht="15.5">
      <c r="A13" s="113" t="str">
        <f>NL!B28</f>
        <v>Electricity, Internet &amp; Water expenses</v>
      </c>
      <c r="B13" s="131">
        <f>NL!I28</f>
        <v>3607143</v>
      </c>
      <c r="C13" s="113"/>
    </row>
    <row r="14" spans="1:6" ht="15.5">
      <c r="A14" s="113" t="str">
        <f>NL!B29</f>
        <v>Store Supplies Expenses</v>
      </c>
      <c r="B14" s="131">
        <f>NL!I29</f>
        <v>750000</v>
      </c>
      <c r="C14" s="113"/>
    </row>
    <row r="15" spans="1:6" ht="15.5">
      <c r="A15" s="113" t="str">
        <f>NL!B30</f>
        <v>Bad Debt Expense</v>
      </c>
      <c r="B15" s="131">
        <f>-NL!J30</f>
        <v>-532885</v>
      </c>
      <c r="C15" s="113"/>
    </row>
    <row r="16" spans="1:6" ht="15.5">
      <c r="A16" s="113" t="str">
        <f>NL!B31</f>
        <v>Depreciation Expense</v>
      </c>
      <c r="B16" s="131">
        <f>NL!I31</f>
        <v>201250</v>
      </c>
      <c r="C16" s="113"/>
    </row>
    <row r="17" spans="1:3" ht="15.5">
      <c r="A17" s="113" t="str">
        <f>NL!B32</f>
        <v>Insurance Expense</v>
      </c>
      <c r="B17" s="131">
        <f>NL!I32</f>
        <v>150000</v>
      </c>
      <c r="C17" s="113"/>
    </row>
    <row r="18" spans="1:3" ht="15.5">
      <c r="A18" s="113" t="str">
        <f>NL!B33</f>
        <v>Wages &amp; Salaries</v>
      </c>
      <c r="B18" s="131">
        <f>NL!I33</f>
        <v>0</v>
      </c>
      <c r="C18" s="113"/>
    </row>
    <row r="19" spans="1:3" ht="15.5">
      <c r="A19" s="113" t="str">
        <f>NL!B34</f>
        <v>Other Operating Expense</v>
      </c>
      <c r="B19" s="131">
        <f>NL!I34</f>
        <v>400000</v>
      </c>
      <c r="C19" s="113"/>
    </row>
    <row r="20" spans="1:3" ht="15.5">
      <c r="A20" s="111" t="s">
        <v>215</v>
      </c>
      <c r="B20" s="113"/>
      <c r="C20" s="136">
        <f>SUM(B13:B19)</f>
        <v>4575508</v>
      </c>
    </row>
    <row r="21" spans="1:3" ht="15.5">
      <c r="A21" s="111" t="s">
        <v>216</v>
      </c>
      <c r="B21" s="113"/>
      <c r="C21" s="131">
        <f>C12-C20</f>
        <v>5706992</v>
      </c>
    </row>
    <row r="22" spans="1:3" ht="15.5">
      <c r="A22" s="113"/>
      <c r="B22" s="113"/>
      <c r="C22" s="113"/>
    </row>
    <row r="23" spans="1:3" ht="15.5">
      <c r="A23" s="138" t="s">
        <v>217</v>
      </c>
      <c r="B23" s="139"/>
      <c r="C23" s="140">
        <f>C12-C20</f>
        <v>5706992</v>
      </c>
    </row>
    <row r="24" spans="1:3">
      <c r="A24" s="4"/>
      <c r="B24" s="5"/>
      <c r="C24" s="6"/>
    </row>
    <row r="25" spans="1:3">
      <c r="A25" s="5"/>
      <c r="B25" s="5"/>
      <c r="C25" s="6"/>
    </row>
    <row r="26" spans="1:3">
      <c r="A26" s="5"/>
      <c r="B26" s="5"/>
      <c r="C26" s="5"/>
    </row>
    <row r="27" spans="1:3">
      <c r="A27" s="5"/>
      <c r="B27" s="5"/>
      <c r="C27" s="5"/>
    </row>
    <row r="28" spans="1:3">
      <c r="A28" s="5"/>
      <c r="B28" s="5"/>
      <c r="C28" s="5"/>
    </row>
    <row r="29" spans="1:3">
      <c r="A29" s="5"/>
      <c r="B29" s="5"/>
      <c r="C29" s="5"/>
    </row>
    <row r="30" spans="1:3">
      <c r="A30" s="5"/>
      <c r="B30" s="5"/>
      <c r="C30" s="5"/>
    </row>
    <row r="31" spans="1:3">
      <c r="A31" s="5"/>
      <c r="B31" s="5"/>
      <c r="C31" s="5"/>
    </row>
    <row r="32" spans="1:3">
      <c r="A32" s="5"/>
      <c r="B32" s="5"/>
      <c r="C32" s="5"/>
    </row>
    <row r="33" spans="1:3">
      <c r="A33" s="5"/>
      <c r="B33" s="5"/>
      <c r="C33" s="5"/>
    </row>
    <row r="34" spans="1:3">
      <c r="A34" s="5"/>
      <c r="B34" s="5"/>
      <c r="C34" s="5"/>
    </row>
    <row r="35" spans="1:3">
      <c r="A35" s="5"/>
      <c r="B35" s="5"/>
      <c r="C35" s="5"/>
    </row>
    <row r="36" spans="1:3">
      <c r="A36" s="5"/>
      <c r="B36" s="5"/>
      <c r="C36" s="5"/>
    </row>
    <row r="37" spans="1:3">
      <c r="A37" s="5"/>
      <c r="B37" s="5"/>
      <c r="C37" s="5"/>
    </row>
    <row r="38" spans="1:3">
      <c r="A38" s="5"/>
      <c r="B38" s="5"/>
      <c r="C38" s="5"/>
    </row>
    <row r="39" spans="1:3">
      <c r="A39" s="5"/>
      <c r="B39" s="5"/>
      <c r="C39" s="5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3"/>
  <sheetViews>
    <sheetView workbookViewId="0">
      <selection activeCell="A5" sqref="A5:C13"/>
    </sheetView>
  </sheetViews>
  <sheetFormatPr defaultColWidth="9" defaultRowHeight="14.5"/>
  <cols>
    <col min="1" max="1" width="35.453125" customWidth="1"/>
    <col min="2" max="2" width="19.08984375" customWidth="1"/>
    <col min="3" max="3" width="18.7265625" customWidth="1"/>
  </cols>
  <sheetData>
    <row r="1" spans="1:6">
      <c r="A1" s="162"/>
      <c r="B1" s="162"/>
      <c r="C1" s="162"/>
      <c r="D1" s="3"/>
      <c r="E1" s="3"/>
      <c r="F1" s="3"/>
    </row>
    <row r="2" spans="1:6">
      <c r="A2" s="162" t="s">
        <v>218</v>
      </c>
      <c r="B2" s="162"/>
      <c r="C2" s="162"/>
      <c r="D2" s="3"/>
      <c r="E2" s="3"/>
      <c r="F2" s="3"/>
    </row>
    <row r="3" spans="1:6">
      <c r="A3" s="162"/>
      <c r="B3" s="162"/>
      <c r="C3" s="162"/>
      <c r="D3" s="3"/>
      <c r="E3" s="3"/>
      <c r="F3" s="3"/>
    </row>
    <row r="5" spans="1:6" ht="15.5">
      <c r="A5" s="113" t="s">
        <v>223</v>
      </c>
      <c r="B5" s="113"/>
      <c r="C5" s="131">
        <f>TB!D20</f>
        <v>101298000</v>
      </c>
    </row>
    <row r="6" spans="1:6" ht="15.5">
      <c r="A6" s="113" t="s">
        <v>225</v>
      </c>
      <c r="B6" s="131">
        <f>SOCI!C23</f>
        <v>5706992</v>
      </c>
      <c r="C6" s="113"/>
    </row>
    <row r="7" spans="1:6" ht="15.5">
      <c r="A7" s="113" t="s">
        <v>224</v>
      </c>
      <c r="B7" s="131">
        <f>NL!K21</f>
        <v>600000</v>
      </c>
      <c r="C7" s="113"/>
    </row>
    <row r="8" spans="1:6" ht="15.5">
      <c r="A8" s="113"/>
      <c r="B8" s="131"/>
      <c r="C8" s="131">
        <f>B6-B7</f>
        <v>5106992</v>
      </c>
    </row>
    <row r="9" spans="1:6" ht="15.5">
      <c r="A9" s="141"/>
      <c r="B9" s="113"/>
      <c r="C9" s="131"/>
    </row>
    <row r="10" spans="1:6" ht="15.5">
      <c r="A10" s="113" t="s">
        <v>226</v>
      </c>
      <c r="B10" s="113"/>
      <c r="C10" s="137">
        <f>SUM(C5:C8)</f>
        <v>106404992</v>
      </c>
    </row>
    <row r="11" spans="1:6" ht="15.5">
      <c r="A11" s="113"/>
      <c r="B11" s="113"/>
      <c r="C11" s="131"/>
    </row>
    <row r="12" spans="1:6" ht="15.5">
      <c r="A12" s="113"/>
      <c r="B12" s="113"/>
      <c r="C12" s="113"/>
    </row>
    <row r="13" spans="1:6" ht="15.5">
      <c r="A13" s="113"/>
      <c r="B13" s="113"/>
      <c r="C13" s="113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0"/>
  <sheetViews>
    <sheetView zoomScale="80" workbookViewId="0">
      <selection activeCell="A5" sqref="A5:D20"/>
    </sheetView>
  </sheetViews>
  <sheetFormatPr defaultColWidth="9" defaultRowHeight="14.5"/>
  <cols>
    <col min="1" max="1" width="36.26953125" customWidth="1"/>
    <col min="2" max="2" width="22.08984375" customWidth="1"/>
    <col min="3" max="3" width="36" customWidth="1"/>
    <col min="4" max="4" width="24" customWidth="1"/>
  </cols>
  <sheetData>
    <row r="1" spans="1:4">
      <c r="A1" s="162"/>
      <c r="B1" s="162"/>
      <c r="C1" s="162"/>
      <c r="D1" s="162"/>
    </row>
    <row r="2" spans="1:4">
      <c r="A2" s="162" t="s">
        <v>219</v>
      </c>
      <c r="B2" s="162"/>
      <c r="C2" s="162"/>
      <c r="D2" s="162"/>
    </row>
    <row r="3" spans="1:4">
      <c r="A3" s="162"/>
      <c r="B3" s="162"/>
      <c r="C3" s="162"/>
      <c r="D3" s="162"/>
    </row>
    <row r="5" spans="1:4" ht="15.5">
      <c r="A5" s="113" t="s">
        <v>231</v>
      </c>
      <c r="B5" s="113"/>
      <c r="C5" s="142" t="s">
        <v>234</v>
      </c>
      <c r="D5" s="113"/>
    </row>
    <row r="6" spans="1:4" ht="15.5">
      <c r="A6" s="113" t="str">
        <f>NL!B6</f>
        <v>Cash in bank</v>
      </c>
      <c r="B6" s="131">
        <f>NL!K6</f>
        <v>122587382</v>
      </c>
      <c r="C6" s="113" t="s">
        <v>233</v>
      </c>
      <c r="D6" s="113"/>
    </row>
    <row r="7" spans="1:4" ht="15.5">
      <c r="A7" s="113" t="str">
        <f>NL!B7</f>
        <v>Petty Cash</v>
      </c>
      <c r="B7" s="131">
        <f>NL!K7</f>
        <v>2651900</v>
      </c>
      <c r="C7" s="131" t="str">
        <f>NL!B15</f>
        <v>Accounts Payable</v>
      </c>
      <c r="D7" s="131">
        <f>NL!L15</f>
        <v>31380100</v>
      </c>
    </row>
    <row r="8" spans="1:4" ht="15.5">
      <c r="A8" s="113" t="str">
        <f>NL!B8</f>
        <v>Accounts Receivable</v>
      </c>
      <c r="B8" s="131">
        <f>NL!K8</f>
        <v>6328000</v>
      </c>
      <c r="C8" s="113" t="str">
        <f>NL!B16</f>
        <v>Expense Payable</v>
      </c>
      <c r="D8" s="131">
        <f>NL!L16</f>
        <v>2680000</v>
      </c>
    </row>
    <row r="9" spans="1:4" ht="15.5">
      <c r="A9" s="113" t="str">
        <f>NL!B9</f>
        <v>Allowance for Doubtful Debt</v>
      </c>
      <c r="B9" s="131">
        <f>-NL!L9</f>
        <v>-1967115</v>
      </c>
      <c r="C9" s="113" t="str">
        <f>NL!B17</f>
        <v>PPN Payable</v>
      </c>
      <c r="D9" s="131">
        <f>NL!L17</f>
        <v>1016675</v>
      </c>
    </row>
    <row r="10" spans="1:4" ht="15.5">
      <c r="A10" s="113" t="str">
        <f>NL!B10</f>
        <v>Merchandise Inventory</v>
      </c>
      <c r="B10" s="131">
        <f>NL!K10</f>
        <v>3761000</v>
      </c>
      <c r="C10" s="113"/>
      <c r="D10" s="137">
        <f>SUM(D7:D9)</f>
        <v>35076775</v>
      </c>
    </row>
    <row r="11" spans="1:4" ht="15.5">
      <c r="A11" s="113" t="str">
        <f>NL!B11</f>
        <v>Store Supplies</v>
      </c>
      <c r="B11" s="131">
        <f>NL!K11</f>
        <v>3418100</v>
      </c>
      <c r="C11" s="113"/>
      <c r="D11" s="113"/>
    </row>
    <row r="12" spans="1:4" ht="15.5">
      <c r="A12" s="113" t="str">
        <f>NL!B12</f>
        <v>Prepaid Insurance</v>
      </c>
      <c r="B12" s="143">
        <f>NL!K12</f>
        <v>1080000</v>
      </c>
      <c r="C12" s="113"/>
      <c r="D12" s="143"/>
    </row>
    <row r="13" spans="1:4" ht="15.5">
      <c r="A13" s="113"/>
      <c r="B13" s="137">
        <f>SUM(B6:B12)</f>
        <v>137859267</v>
      </c>
      <c r="C13" s="113" t="s">
        <v>34</v>
      </c>
      <c r="D13" s="131">
        <f>RES!C10</f>
        <v>106404992</v>
      </c>
    </row>
    <row r="14" spans="1:4" ht="15.5">
      <c r="A14" s="113" t="s">
        <v>232</v>
      </c>
      <c r="B14" s="113"/>
      <c r="C14" s="113"/>
      <c r="D14" s="113"/>
    </row>
    <row r="15" spans="1:4" ht="15.5">
      <c r="A15" s="113" t="str">
        <f>NL!B13</f>
        <v>Equipment at Cost</v>
      </c>
      <c r="B15" s="131">
        <f>NL!K13</f>
        <v>7245000</v>
      </c>
      <c r="C15" s="113"/>
      <c r="D15" s="113"/>
    </row>
    <row r="16" spans="1:4" ht="15.5">
      <c r="A16" s="113" t="str">
        <f>NL!B14</f>
        <v>Equipment Accum Dep</v>
      </c>
      <c r="B16" s="131">
        <f>-NL!L14</f>
        <v>-3622500</v>
      </c>
      <c r="C16" s="113"/>
      <c r="D16" s="113"/>
    </row>
    <row r="17" spans="1:4" ht="15.5">
      <c r="A17" s="113"/>
      <c r="B17" s="131">
        <f>SUM(B15:B16)</f>
        <v>3622500</v>
      </c>
      <c r="C17" s="113"/>
      <c r="D17" s="113"/>
    </row>
    <row r="18" spans="1:4" ht="15.5">
      <c r="A18" s="113"/>
      <c r="B18" s="113"/>
      <c r="C18" s="113"/>
      <c r="D18" s="113"/>
    </row>
    <row r="19" spans="1:4" ht="15.5">
      <c r="A19" s="113"/>
      <c r="B19" s="113"/>
      <c r="C19" s="113"/>
      <c r="D19" s="113"/>
    </row>
    <row r="20" spans="1:4" ht="15.5">
      <c r="A20" s="115"/>
      <c r="B20" s="137">
        <f>B13+B17</f>
        <v>141481767</v>
      </c>
      <c r="C20" s="115"/>
      <c r="D20" s="137">
        <f>D10+D13</f>
        <v>141481767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6"/>
  <sheetViews>
    <sheetView zoomScale="69" workbookViewId="0">
      <selection activeCell="A5" sqref="A5:C22"/>
    </sheetView>
  </sheetViews>
  <sheetFormatPr defaultColWidth="9" defaultRowHeight="14.5"/>
  <cols>
    <col min="1" max="1" width="35.453125" customWidth="1"/>
    <col min="2" max="2" width="19.08984375" style="72" customWidth="1"/>
    <col min="3" max="3" width="18.7265625" customWidth="1"/>
    <col min="4" max="4" width="9.08984375" customWidth="1"/>
    <col min="6" max="6" width="17" bestFit="1" customWidth="1"/>
  </cols>
  <sheetData>
    <row r="1" spans="1:6">
      <c r="A1" s="162"/>
      <c r="B1" s="162"/>
      <c r="C1" s="162"/>
      <c r="D1" s="3"/>
      <c r="E1" s="3"/>
      <c r="F1" s="3"/>
    </row>
    <row r="2" spans="1:6">
      <c r="A2" s="162" t="s">
        <v>220</v>
      </c>
      <c r="B2" s="162"/>
      <c r="C2" s="162"/>
      <c r="D2" s="3"/>
      <c r="E2" s="3"/>
      <c r="F2" s="3"/>
    </row>
    <row r="3" spans="1:6">
      <c r="A3" s="162"/>
      <c r="B3" s="162"/>
      <c r="C3" s="162"/>
      <c r="D3" s="3"/>
      <c r="E3" s="3"/>
      <c r="F3" s="3"/>
    </row>
    <row r="4" spans="1:6">
      <c r="F4" s="1"/>
    </row>
    <row r="5" spans="1:6">
      <c r="A5" s="71" t="s">
        <v>235</v>
      </c>
      <c r="B5" s="10"/>
      <c r="C5" s="5"/>
      <c r="F5" s="1"/>
    </row>
    <row r="6" spans="1:6">
      <c r="A6" s="70" t="s">
        <v>236</v>
      </c>
      <c r="B6" s="10">
        <f>CRJ!E23</f>
        <v>39972325</v>
      </c>
      <c r="C6" s="5"/>
      <c r="F6" s="1"/>
    </row>
    <row r="7" spans="1:6">
      <c r="A7" s="71" t="s">
        <v>238</v>
      </c>
      <c r="B7" s="10"/>
      <c r="C7" s="6">
        <f>SUM(B6:B6)</f>
        <v>39972325</v>
      </c>
    </row>
    <row r="8" spans="1:6">
      <c r="A8" s="70" t="s">
        <v>239</v>
      </c>
      <c r="B8" s="10"/>
      <c r="C8" s="5"/>
    </row>
    <row r="9" spans="1:6">
      <c r="A9" s="70" t="s">
        <v>240</v>
      </c>
      <c r="B9" s="10">
        <f>CPJ!G9</f>
        <v>1725000</v>
      </c>
      <c r="C9" s="5"/>
    </row>
    <row r="10" spans="1:6">
      <c r="A10" s="5" t="str">
        <f>'TB AWAL'!B28</f>
        <v>Electricity, Internet &amp; Water expenses</v>
      </c>
      <c r="B10" s="10">
        <f>CPJ!M10</f>
        <v>3607143</v>
      </c>
      <c r="C10" s="5"/>
    </row>
    <row r="11" spans="1:6">
      <c r="A11" s="70" t="s">
        <v>242</v>
      </c>
      <c r="B11" s="10">
        <f>PC!F8</f>
        <v>448100</v>
      </c>
      <c r="C11" s="5"/>
    </row>
    <row r="12" spans="1:6">
      <c r="A12" s="70" t="s">
        <v>237</v>
      </c>
      <c r="B12" s="10">
        <f>CPJ!E10</f>
        <v>2442000</v>
      </c>
      <c r="C12" s="5"/>
    </row>
    <row r="13" spans="1:6">
      <c r="A13" s="70" t="s">
        <v>243</v>
      </c>
      <c r="B13" s="10">
        <f>PC!F9</f>
        <v>400000</v>
      </c>
      <c r="C13" s="5"/>
    </row>
    <row r="14" spans="1:6">
      <c r="A14" s="5"/>
      <c r="B14" s="10"/>
      <c r="C14" s="6">
        <f>SUM(B9:B13)</f>
        <v>8622243</v>
      </c>
    </row>
    <row r="15" spans="1:6">
      <c r="A15" s="71" t="s">
        <v>244</v>
      </c>
      <c r="B15" s="10"/>
      <c r="C15" s="6">
        <f>C7-C14</f>
        <v>31350082</v>
      </c>
    </row>
    <row r="16" spans="1:6">
      <c r="A16" s="5"/>
      <c r="B16" s="10"/>
      <c r="C16" s="5"/>
    </row>
    <row r="17" spans="1:3">
      <c r="A17" s="71" t="s">
        <v>245</v>
      </c>
      <c r="B17" s="10"/>
      <c r="C17" s="5"/>
    </row>
    <row r="18" spans="1:3">
      <c r="A18" s="70" t="s">
        <v>224</v>
      </c>
      <c r="B18" s="10">
        <f>CPJ!G12</f>
        <v>450000</v>
      </c>
      <c r="C18" s="5"/>
    </row>
    <row r="19" spans="1:3">
      <c r="A19" s="5"/>
      <c r="B19" s="10"/>
      <c r="C19" s="6">
        <f>B18</f>
        <v>450000</v>
      </c>
    </row>
    <row r="20" spans="1:3">
      <c r="A20" s="70" t="s">
        <v>246</v>
      </c>
      <c r="B20" s="10"/>
      <c r="C20" s="6">
        <f>C15-C19</f>
        <v>30900082</v>
      </c>
    </row>
    <row r="21" spans="1:3">
      <c r="A21" s="70" t="s">
        <v>247</v>
      </c>
      <c r="B21" s="10"/>
      <c r="C21" s="6">
        <f>'TB AWAL'!C6+'TB AWAL'!C7</f>
        <v>94339200</v>
      </c>
    </row>
    <row r="22" spans="1:3">
      <c r="A22" s="70" t="s">
        <v>248</v>
      </c>
      <c r="B22" s="10"/>
      <c r="C22" s="6">
        <f>SUM(C20:C21)</f>
        <v>125239282</v>
      </c>
    </row>
    <row r="23" spans="1:3">
      <c r="A23" s="106"/>
      <c r="B23" s="107"/>
      <c r="C23" s="106"/>
    </row>
    <row r="24" spans="1:3">
      <c r="B24" s="108"/>
    </row>
    <row r="25" spans="1:3">
      <c r="B25" s="108"/>
    </row>
    <row r="26" spans="1:3">
      <c r="B26" s="108"/>
    </row>
    <row r="27" spans="1:3">
      <c r="B27" s="108"/>
    </row>
    <row r="28" spans="1:3">
      <c r="B28" s="108"/>
    </row>
    <row r="29" spans="1:3">
      <c r="B29" s="108"/>
    </row>
    <row r="30" spans="1:3">
      <c r="B30" s="108"/>
    </row>
    <row r="31" spans="1:3">
      <c r="B31" s="108"/>
    </row>
    <row r="32" spans="1:3">
      <c r="B32" s="108"/>
    </row>
    <row r="33" spans="2:2">
      <c r="B33" s="108"/>
    </row>
    <row r="34" spans="2:2">
      <c r="B34" s="108"/>
    </row>
    <row r="35" spans="2:2">
      <c r="B35" s="108"/>
    </row>
    <row r="36" spans="2:2">
      <c r="B36" s="108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4"/>
  <sheetViews>
    <sheetView zoomScale="58" workbookViewId="0">
      <selection activeCell="O25" sqref="O25"/>
    </sheetView>
  </sheetViews>
  <sheetFormatPr defaultColWidth="9" defaultRowHeight="14.5"/>
  <cols>
    <col min="3" max="3" width="36.81640625" customWidth="1"/>
    <col min="5" max="5" width="20.08984375" customWidth="1"/>
    <col min="6" max="6" width="19.81640625" customWidth="1"/>
  </cols>
  <sheetData>
    <row r="1" spans="1:6">
      <c r="A1" s="162"/>
      <c r="B1" s="162"/>
      <c r="C1" s="162"/>
      <c r="D1" s="162"/>
      <c r="E1" s="162"/>
      <c r="F1" s="162"/>
    </row>
    <row r="2" spans="1:6">
      <c r="A2" s="162" t="s">
        <v>221</v>
      </c>
      <c r="B2" s="162"/>
      <c r="C2" s="162"/>
      <c r="D2" s="162"/>
      <c r="E2" s="162"/>
      <c r="F2" s="162"/>
    </row>
    <row r="3" spans="1:6">
      <c r="A3" s="162"/>
      <c r="B3" s="162"/>
      <c r="C3" s="162"/>
      <c r="D3" s="162"/>
      <c r="E3" s="162"/>
      <c r="F3" s="162"/>
    </row>
    <row r="5" spans="1:6">
      <c r="A5" s="152" t="s">
        <v>64</v>
      </c>
      <c r="B5" s="152" t="s">
        <v>119</v>
      </c>
      <c r="C5" s="152" t="s">
        <v>66</v>
      </c>
      <c r="D5" s="152" t="s">
        <v>120</v>
      </c>
      <c r="E5" s="152" t="s">
        <v>3</v>
      </c>
      <c r="F5" s="152" t="s">
        <v>69</v>
      </c>
    </row>
    <row r="6" spans="1:6">
      <c r="A6" s="154"/>
      <c r="B6" s="154"/>
      <c r="C6" s="154"/>
      <c r="D6" s="154"/>
      <c r="E6" s="154"/>
      <c r="F6" s="154"/>
    </row>
    <row r="7" spans="1:6">
      <c r="A7" s="5"/>
      <c r="B7" s="5"/>
      <c r="C7" s="70" t="s">
        <v>40</v>
      </c>
      <c r="D7" s="5"/>
      <c r="E7" s="6">
        <f>SOCI!B5</f>
        <v>32723950</v>
      </c>
      <c r="F7" s="5"/>
    </row>
    <row r="8" spans="1:6">
      <c r="A8" s="5"/>
      <c r="B8" s="5"/>
      <c r="C8" s="70" t="s">
        <v>54</v>
      </c>
      <c r="D8" s="5"/>
      <c r="E8" s="6">
        <f>NL!J30</f>
        <v>532885</v>
      </c>
      <c r="F8" s="5"/>
    </row>
    <row r="9" spans="1:6">
      <c r="A9" s="5"/>
      <c r="B9" s="5"/>
      <c r="C9" s="74" t="s">
        <v>38</v>
      </c>
      <c r="D9" s="5"/>
      <c r="E9" s="5"/>
      <c r="F9" s="6">
        <f>SUM(E7:E8)</f>
        <v>33256835</v>
      </c>
    </row>
    <row r="10" spans="1:6">
      <c r="A10" s="5"/>
      <c r="B10" s="5"/>
      <c r="C10" s="73" t="s">
        <v>38</v>
      </c>
      <c r="D10" s="5"/>
      <c r="E10" s="6">
        <f>SUM(F11:F19)</f>
        <v>28372143</v>
      </c>
      <c r="F10" s="5"/>
    </row>
    <row r="11" spans="1:6">
      <c r="A11" s="5"/>
      <c r="B11" s="5"/>
      <c r="C11" s="75" t="str">
        <f>NL!B26</f>
        <v>Cost of goods Sold</v>
      </c>
      <c r="D11" s="5"/>
      <c r="E11" s="5"/>
      <c r="F11" s="6">
        <f>NL!I26</f>
        <v>22092500</v>
      </c>
    </row>
    <row r="12" spans="1:6">
      <c r="A12" s="5"/>
      <c r="B12" s="5"/>
      <c r="C12" s="13" t="str">
        <f>NL!B27</f>
        <v xml:space="preserve">Freight Paid </v>
      </c>
      <c r="D12" s="5"/>
      <c r="E12" s="5"/>
      <c r="F12" s="6">
        <f>NL!I27</f>
        <v>970000</v>
      </c>
    </row>
    <row r="13" spans="1:6">
      <c r="A13" s="5"/>
      <c r="B13" s="5"/>
      <c r="C13" s="13" t="str">
        <f>NL!B28</f>
        <v>Electricity, Internet &amp; Water expenses</v>
      </c>
      <c r="D13" s="5"/>
      <c r="E13" s="5"/>
      <c r="F13" s="6">
        <f>NL!I28</f>
        <v>3607143</v>
      </c>
    </row>
    <row r="14" spans="1:6">
      <c r="A14" s="5"/>
      <c r="B14" s="5"/>
      <c r="C14" s="13" t="str">
        <f>NL!B29</f>
        <v>Store Supplies Expenses</v>
      </c>
      <c r="D14" s="5"/>
      <c r="E14" s="5"/>
      <c r="F14" s="6">
        <f>NL!I29</f>
        <v>750000</v>
      </c>
    </row>
    <row r="15" spans="1:6">
      <c r="A15" s="5"/>
      <c r="B15" s="5"/>
      <c r="C15" s="13" t="str">
        <f>NL!B30</f>
        <v>Bad Debt Expense</v>
      </c>
      <c r="D15" s="5"/>
      <c r="E15" s="5"/>
      <c r="F15" s="6">
        <f>NL!I31</f>
        <v>201250</v>
      </c>
    </row>
    <row r="16" spans="1:6">
      <c r="A16" s="5"/>
      <c r="B16" s="5"/>
      <c r="C16" s="13" t="str">
        <f>NL!B31</f>
        <v>Depreciation Expense</v>
      </c>
      <c r="D16" s="5"/>
      <c r="E16" s="5"/>
      <c r="F16" s="6">
        <f>NL!I31</f>
        <v>201250</v>
      </c>
    </row>
    <row r="17" spans="1:6">
      <c r="A17" s="5"/>
      <c r="B17" s="5"/>
      <c r="C17" s="13" t="str">
        <f>NL!B32</f>
        <v>Insurance Expense</v>
      </c>
      <c r="D17" s="5"/>
      <c r="E17" s="5"/>
      <c r="F17" s="6">
        <f>NL!I32</f>
        <v>150000</v>
      </c>
    </row>
    <row r="18" spans="1:6">
      <c r="A18" s="5"/>
      <c r="B18" s="5"/>
      <c r="C18" s="13" t="str">
        <f>NL!B33</f>
        <v>Wages &amp; Salaries</v>
      </c>
      <c r="D18" s="5"/>
      <c r="E18" s="5"/>
      <c r="F18" s="6">
        <f>NL!I33</f>
        <v>0</v>
      </c>
    </row>
    <row r="19" spans="1:6">
      <c r="A19" s="5"/>
      <c r="B19" s="5"/>
      <c r="C19" s="13" t="str">
        <f>NL!B34</f>
        <v>Other Operating Expense</v>
      </c>
      <c r="D19" s="5"/>
      <c r="E19" s="5"/>
      <c r="F19" s="6">
        <f>NL!I34</f>
        <v>400000</v>
      </c>
    </row>
    <row r="20" spans="1:6">
      <c r="A20" s="5"/>
      <c r="B20" s="5"/>
      <c r="C20" s="70" t="s">
        <v>38</v>
      </c>
      <c r="D20" s="5"/>
      <c r="E20" s="6">
        <f>F21</f>
        <v>5706992</v>
      </c>
      <c r="F20" s="5"/>
    </row>
    <row r="21" spans="1:6">
      <c r="A21" s="5"/>
      <c r="B21" s="5"/>
      <c r="C21" s="75" t="str">
        <f>NL!B20</f>
        <v>KOPMEN SBW Capital</v>
      </c>
      <c r="D21" s="5"/>
      <c r="E21" s="5"/>
      <c r="F21" s="6">
        <f>SOCI!C23</f>
        <v>5706992</v>
      </c>
    </row>
    <row r="22" spans="1:6">
      <c r="A22" s="5"/>
      <c r="B22" s="5"/>
      <c r="C22" s="5" t="str">
        <f>NL!B20</f>
        <v>KOPMEN SBW Capital</v>
      </c>
      <c r="D22" s="5"/>
      <c r="E22" s="6">
        <f>F23</f>
        <v>600000</v>
      </c>
      <c r="F22" s="5"/>
    </row>
    <row r="23" spans="1:6">
      <c r="A23" s="5"/>
      <c r="B23" s="5"/>
      <c r="C23" s="13" t="str">
        <f>NL!B21</f>
        <v>KOPMEN SBW Drawing</v>
      </c>
      <c r="D23" s="5"/>
      <c r="E23" s="5"/>
      <c r="F23" s="6">
        <f>RES!B7</f>
        <v>600000</v>
      </c>
    </row>
    <row r="24" spans="1:6">
      <c r="A24" s="88"/>
      <c r="B24" s="88"/>
      <c r="C24" s="89" t="s">
        <v>265</v>
      </c>
      <c r="D24" s="88"/>
      <c r="E24" s="98">
        <f>SUM(E7:E23)</f>
        <v>67935970</v>
      </c>
      <c r="F24" s="93">
        <f>SUM(F7:F23)</f>
        <v>67935970</v>
      </c>
    </row>
  </sheetData>
  <mergeCells count="9">
    <mergeCell ref="A1:F1"/>
    <mergeCell ref="A2:F2"/>
    <mergeCell ref="A3:F3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1"/>
  <sheetViews>
    <sheetView zoomScale="80" workbookViewId="0">
      <selection activeCell="A20" sqref="A20:D20"/>
    </sheetView>
  </sheetViews>
  <sheetFormatPr defaultColWidth="9" defaultRowHeight="14.5"/>
  <cols>
    <col min="2" max="2" width="33.81640625" customWidth="1"/>
    <col min="3" max="3" width="19.453125" customWidth="1"/>
    <col min="4" max="4" width="18.26953125" customWidth="1"/>
  </cols>
  <sheetData>
    <row r="1" spans="1:6">
      <c r="A1" s="162"/>
      <c r="B1" s="162"/>
      <c r="C1" s="162"/>
      <c r="D1" s="162"/>
      <c r="E1" s="162"/>
      <c r="F1" s="162"/>
    </row>
    <row r="2" spans="1:6">
      <c r="A2" s="162" t="s">
        <v>222</v>
      </c>
      <c r="B2" s="162"/>
      <c r="C2" s="162"/>
      <c r="D2" s="162"/>
      <c r="E2" s="3"/>
      <c r="F2" s="3"/>
    </row>
    <row r="3" spans="1:6">
      <c r="A3" s="162"/>
      <c r="B3" s="162"/>
      <c r="C3" s="162"/>
      <c r="D3" s="162"/>
      <c r="E3" s="162"/>
      <c r="F3" s="162"/>
    </row>
    <row r="5" spans="1:6">
      <c r="A5" s="4" t="s">
        <v>1</v>
      </c>
      <c r="B5" s="4" t="s">
        <v>205</v>
      </c>
      <c r="C5" s="4" t="s">
        <v>68</v>
      </c>
      <c r="D5" s="4" t="s">
        <v>69</v>
      </c>
    </row>
    <row r="6" spans="1:6">
      <c r="A6" s="4"/>
      <c r="B6" s="5" t="str">
        <f>NL!B6</f>
        <v>Cash in bank</v>
      </c>
      <c r="C6" s="43">
        <f>NL!K6</f>
        <v>122587382</v>
      </c>
      <c r="D6" s="4"/>
    </row>
    <row r="7" spans="1:6">
      <c r="A7" s="4"/>
      <c r="B7" s="5" t="str">
        <f>NL!B7</f>
        <v>Petty Cash</v>
      </c>
      <c r="C7" s="43">
        <f>NL!K7</f>
        <v>2651900</v>
      </c>
      <c r="D7" s="4"/>
    </row>
    <row r="8" spans="1:6">
      <c r="A8" s="5"/>
      <c r="B8" s="5" t="str">
        <f>NL!B8</f>
        <v>Accounts Receivable</v>
      </c>
      <c r="C8" s="6">
        <f>NL!K8</f>
        <v>6328000</v>
      </c>
      <c r="D8" s="5"/>
    </row>
    <row r="9" spans="1:6">
      <c r="A9" s="5"/>
      <c r="B9" s="5" t="str">
        <f>NL!B9</f>
        <v>Allowance for Doubtful Debt</v>
      </c>
      <c r="C9" s="5"/>
      <c r="D9" s="6">
        <f>NL!L9</f>
        <v>1967115</v>
      </c>
    </row>
    <row r="10" spans="1:6">
      <c r="A10" s="5"/>
      <c r="B10" s="5" t="str">
        <f>NL!B10</f>
        <v>Merchandise Inventory</v>
      </c>
      <c r="C10" s="6">
        <f>NL!K10</f>
        <v>3761000</v>
      </c>
      <c r="D10" s="5"/>
    </row>
    <row r="11" spans="1:6">
      <c r="A11" s="5"/>
      <c r="B11" s="5" t="str">
        <f>NL!B11</f>
        <v>Store Supplies</v>
      </c>
      <c r="C11" s="6">
        <f>NL!K11</f>
        <v>3418100</v>
      </c>
      <c r="D11" s="5"/>
    </row>
    <row r="12" spans="1:6">
      <c r="A12" s="5"/>
      <c r="B12" s="5" t="str">
        <f>NL!B12</f>
        <v>Prepaid Insurance</v>
      </c>
      <c r="C12" s="6">
        <f>NL!K12</f>
        <v>1080000</v>
      </c>
      <c r="D12" s="5"/>
    </row>
    <row r="13" spans="1:6">
      <c r="A13" s="5"/>
      <c r="B13" s="5" t="str">
        <f>NL!B13</f>
        <v>Equipment at Cost</v>
      </c>
      <c r="C13" s="6">
        <f>NL!K13</f>
        <v>7245000</v>
      </c>
      <c r="D13" s="5"/>
    </row>
    <row r="14" spans="1:6">
      <c r="A14" s="5"/>
      <c r="B14" s="5" t="str">
        <f>NL!B14</f>
        <v>Equipment Accum Dep</v>
      </c>
      <c r="C14" s="5"/>
      <c r="D14" s="6">
        <f>NL!L14</f>
        <v>3622500</v>
      </c>
    </row>
    <row r="15" spans="1:6">
      <c r="A15" s="5"/>
      <c r="B15" s="5" t="str">
        <f>NL!B15</f>
        <v>Accounts Payable</v>
      </c>
      <c r="C15" s="5"/>
      <c r="D15" s="6">
        <f>NL!L15</f>
        <v>31380100</v>
      </c>
    </row>
    <row r="16" spans="1:6">
      <c r="A16" s="5"/>
      <c r="B16" s="5" t="str">
        <f>NL!B16</f>
        <v>Expense Payable</v>
      </c>
      <c r="C16" s="5"/>
      <c r="D16" s="6">
        <f>NL!L16</f>
        <v>2680000</v>
      </c>
    </row>
    <row r="17" spans="1:4">
      <c r="A17" s="5"/>
      <c r="B17" s="5" t="str">
        <f>NL!B17</f>
        <v>PPN Payable</v>
      </c>
      <c r="C17" s="5"/>
      <c r="D17" s="6">
        <f>NL!L17</f>
        <v>1016675</v>
      </c>
    </row>
    <row r="18" spans="1:4">
      <c r="A18" s="5"/>
      <c r="B18" s="5" t="str">
        <f>NL!B20</f>
        <v>KOPMEN SBW Capital</v>
      </c>
      <c r="C18" s="5"/>
      <c r="D18" s="6">
        <f>RES!C10</f>
        <v>106404992</v>
      </c>
    </row>
    <row r="19" spans="1:4">
      <c r="A19" s="5"/>
      <c r="B19" s="5"/>
      <c r="C19" s="5"/>
      <c r="D19" s="5"/>
    </row>
    <row r="20" spans="1:4">
      <c r="A20" s="88"/>
      <c r="B20" s="89" t="s">
        <v>265</v>
      </c>
      <c r="C20" s="98">
        <f>SUM(C6:C18)</f>
        <v>147071382</v>
      </c>
      <c r="D20" s="93">
        <f>SUM(D6:D18)</f>
        <v>147071382</v>
      </c>
    </row>
    <row r="21" spans="1:4">
      <c r="A21" t="s">
        <v>266</v>
      </c>
    </row>
  </sheetData>
  <mergeCells count="3">
    <mergeCell ref="A1:F1"/>
    <mergeCell ref="A2:D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TB AWAL</vt:lpstr>
      <vt:lpstr>CRJ</vt:lpstr>
      <vt:lpstr>CPJ</vt:lpstr>
      <vt:lpstr>SJ</vt:lpstr>
      <vt:lpstr>PJ</vt:lpstr>
      <vt:lpstr>PC</vt:lpstr>
      <vt:lpstr>GJ</vt:lpstr>
      <vt:lpstr>IC (1)</vt:lpstr>
      <vt:lpstr>IC(2)</vt:lpstr>
      <vt:lpstr>SLAP</vt:lpstr>
      <vt:lpstr>SLAR</vt:lpstr>
      <vt:lpstr>GL</vt:lpstr>
      <vt:lpstr>TB</vt:lpstr>
      <vt:lpstr>AJ</vt:lpstr>
      <vt:lpstr>NL</vt:lpstr>
      <vt:lpstr>SOCI</vt:lpstr>
      <vt:lpstr>RES</vt:lpstr>
      <vt:lpstr>SFOP</vt:lpstr>
      <vt:lpstr>CFS</vt:lpstr>
      <vt:lpstr>CJ</vt:lpstr>
      <vt:lpstr>TBACE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devinaputrirahmawati30@gmail.com</cp:lastModifiedBy>
  <dcterms:created xsi:type="dcterms:W3CDTF">2025-02-07T03:29:00Z</dcterms:created>
  <dcterms:modified xsi:type="dcterms:W3CDTF">2025-12-03T02:12:43Z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F0A5611B676B4721B873F2729A344384_12</vt:lpwstr>
  </property>
  <property fmtid="{D5CDD505-2E9C-101B-9397-08002B2CF9AE}" pid="3" name="KSOProductBuildVer">
    <vt:lpwstr>1033-12.2.0.22549</vt:lpwstr>
  </property>
</Properties>
</file>